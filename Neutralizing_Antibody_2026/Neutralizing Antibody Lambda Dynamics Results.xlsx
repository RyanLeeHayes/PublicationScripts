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amirmasoud/Downloads/Lab/My Publications/Neutralizing Antibodies/Final Results/Results/"/>
    </mc:Choice>
  </mc:AlternateContent>
  <xr:revisionPtr revIDLastSave="0" documentId="13_ncr:1_{13228EB2-F7F6-D54E-A408-C235FBB9AAEC}" xr6:coauthVersionLast="47" xr6:coauthVersionMax="47" xr10:uidLastSave="{00000000-0000-0000-0000-000000000000}"/>
  <bookViews>
    <workbookView xWindow="4020" yWindow="820" windowWidth="29820" windowHeight="19080" firstSheet="7" activeTab="13" xr2:uid="{9A2775DA-8A17-804A-93AA-ECCDDBB5265A}"/>
  </bookViews>
  <sheets>
    <sheet name="Truncated VRC01" sheetId="1" r:id="rId1"/>
    <sheet name="Truncated VRC03" sheetId="2" r:id="rId2"/>
    <sheet name="Truncated VRC-PG04" sheetId="3" r:id="rId3"/>
    <sheet name="All" sheetId="4" r:id="rId4"/>
    <sheet name="Truncated VRC01- Glycan Present" sheetId="5" r:id="rId5"/>
    <sheet name="Truncated VRC03- Glycan Present" sheetId="6" r:id="rId6"/>
    <sheet name="Truncated VRCPG4-Glycan Present" sheetId="7" r:id="rId7"/>
    <sheet name="All- Glycan Present" sheetId="8" r:id="rId8"/>
    <sheet name="Untruncated VRC01" sheetId="9" r:id="rId9"/>
    <sheet name="Untruncated VRC03" sheetId="10" r:id="rId10"/>
    <sheet name="Untruncated VRC-PG04" sheetId="11" r:id="rId11"/>
    <sheet name="Untruncated- All" sheetId="12" r:id="rId12"/>
    <sheet name="Average Truncated + Untruncated" sheetId="13" r:id="rId13"/>
    <sheet name="Average Truncated WG+Untruncate"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8" i="14" l="1"/>
  <c r="X47" i="14"/>
  <c r="V45" i="14"/>
  <c r="X45" i="14"/>
  <c r="K65" i="14"/>
  <c r="K64" i="14"/>
  <c r="I62" i="14"/>
  <c r="K62"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49" i="14"/>
  <c r="K50" i="14"/>
  <c r="K51" i="14"/>
  <c r="K52" i="14"/>
  <c r="K53" i="14"/>
  <c r="K54" i="14"/>
  <c r="K55" i="14"/>
  <c r="K56" i="14"/>
  <c r="K57" i="14"/>
  <c r="K58" i="14"/>
  <c r="K59" i="14"/>
  <c r="K60" i="14"/>
  <c r="K3"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3"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3" i="14"/>
  <c r="G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3" i="14"/>
  <c r="X48" i="13" l="1"/>
  <c r="X47" i="13"/>
  <c r="V45" i="13"/>
  <c r="X45" i="13"/>
  <c r="K65" i="13"/>
  <c r="K64" i="13"/>
  <c r="I62" i="13"/>
  <c r="K62"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3" i="13"/>
  <c r="AD43" i="12" l="1"/>
  <c r="AE43" i="12" s="1"/>
  <c r="AC43" i="12"/>
  <c r="AG43" i="12" s="1"/>
  <c r="AD42" i="12"/>
  <c r="AE42" i="12" s="1"/>
  <c r="AC42" i="12"/>
  <c r="AG42" i="12" s="1"/>
  <c r="AD41" i="12"/>
  <c r="AE41" i="12" s="1"/>
  <c r="AC41" i="12"/>
  <c r="AG41" i="12" s="1"/>
  <c r="AD40" i="12"/>
  <c r="AE40" i="12" s="1"/>
  <c r="AC40" i="12"/>
  <c r="AG40" i="12" s="1"/>
  <c r="AD39" i="12"/>
  <c r="AE39" i="12" s="1"/>
  <c r="AC39" i="12"/>
  <c r="AG39" i="12" s="1"/>
  <c r="AD38" i="12"/>
  <c r="AE38" i="12" s="1"/>
  <c r="AC38" i="12"/>
  <c r="AG38" i="12" s="1"/>
  <c r="AD37" i="12"/>
  <c r="AE37" i="12" s="1"/>
  <c r="AC37" i="12"/>
  <c r="AG37" i="12" s="1"/>
  <c r="AD36" i="12"/>
  <c r="AE36" i="12" s="1"/>
  <c r="AC36" i="12"/>
  <c r="AG36" i="12" s="1"/>
  <c r="AG35" i="12"/>
  <c r="AE35" i="12"/>
  <c r="AD35" i="12"/>
  <c r="AC35" i="12"/>
  <c r="AD34" i="12"/>
  <c r="AE34" i="12" s="1"/>
  <c r="AC34" i="12"/>
  <c r="AG34" i="12" s="1"/>
  <c r="AD33" i="12"/>
  <c r="AE33" i="12" s="1"/>
  <c r="AC33" i="12"/>
  <c r="AG33" i="12" s="1"/>
  <c r="AD32" i="12"/>
  <c r="AE32" i="12" s="1"/>
  <c r="AC32" i="12"/>
  <c r="AG32" i="12" s="1"/>
  <c r="AD31" i="12"/>
  <c r="AE31" i="12" s="1"/>
  <c r="AC31" i="12"/>
  <c r="AG31" i="12" s="1"/>
  <c r="AE30" i="12"/>
  <c r="AD30" i="12"/>
  <c r="AC30" i="12"/>
  <c r="AG30" i="12" s="1"/>
  <c r="AD29" i="12"/>
  <c r="AE29" i="12" s="1"/>
  <c r="AC29" i="12"/>
  <c r="AG29" i="12" s="1"/>
  <c r="AD28" i="12"/>
  <c r="AE28" i="12" s="1"/>
  <c r="AC28" i="12"/>
  <c r="AG28" i="12" s="1"/>
  <c r="AD27" i="12"/>
  <c r="AE27" i="12" s="1"/>
  <c r="AC27" i="12"/>
  <c r="AG27" i="12" s="1"/>
  <c r="AD26" i="12"/>
  <c r="AE26" i="12" s="1"/>
  <c r="AC26" i="12"/>
  <c r="AG26" i="12" s="1"/>
  <c r="AD25" i="12"/>
  <c r="AE25" i="12" s="1"/>
  <c r="AC25" i="12"/>
  <c r="AG25" i="12" s="1"/>
  <c r="AD24" i="12"/>
  <c r="AE24" i="12" s="1"/>
  <c r="AC24" i="12"/>
  <c r="AG24" i="12" s="1"/>
  <c r="AD23" i="12"/>
  <c r="AE23" i="12" s="1"/>
  <c r="AC23" i="12"/>
  <c r="AG23" i="12" s="1"/>
  <c r="AD22" i="12"/>
  <c r="AE22" i="12" s="1"/>
  <c r="AC22" i="12"/>
  <c r="AG22" i="12" s="1"/>
  <c r="AD21" i="12"/>
  <c r="AE21" i="12" s="1"/>
  <c r="AC21" i="12"/>
  <c r="AG21" i="12" s="1"/>
  <c r="AD20" i="12"/>
  <c r="AE20" i="12" s="1"/>
  <c r="AC20" i="12"/>
  <c r="AG20" i="12" s="1"/>
  <c r="AD19" i="12"/>
  <c r="AE19" i="12" s="1"/>
  <c r="AC19" i="12"/>
  <c r="AG19" i="12" s="1"/>
  <c r="AD18" i="12"/>
  <c r="AE18" i="12" s="1"/>
  <c r="AC18" i="12"/>
  <c r="AG18" i="12" s="1"/>
  <c r="AD17" i="12"/>
  <c r="AE17" i="12" s="1"/>
  <c r="AC17" i="12"/>
  <c r="AG17" i="12" s="1"/>
  <c r="AD16" i="12"/>
  <c r="AE16" i="12" s="1"/>
  <c r="AC16" i="12"/>
  <c r="AG16" i="12" s="1"/>
  <c r="AG15" i="12"/>
  <c r="AD15" i="12"/>
  <c r="AE15" i="12" s="1"/>
  <c r="AC15" i="12"/>
  <c r="AD14" i="12"/>
  <c r="AE14" i="12" s="1"/>
  <c r="AC14" i="12"/>
  <c r="AG14" i="12" s="1"/>
  <c r="AD13" i="12"/>
  <c r="AE13" i="12" s="1"/>
  <c r="AC13" i="12"/>
  <c r="AG13" i="12" s="1"/>
  <c r="AD12" i="12"/>
  <c r="AE12" i="12" s="1"/>
  <c r="AC12" i="12"/>
  <c r="AG12" i="12" s="1"/>
  <c r="AD11" i="12"/>
  <c r="AE11" i="12" s="1"/>
  <c r="AC11" i="12"/>
  <c r="AG11" i="12" s="1"/>
  <c r="AD10" i="12"/>
  <c r="AE10" i="12" s="1"/>
  <c r="AC10" i="12"/>
  <c r="AG10" i="12" s="1"/>
  <c r="AD9" i="12"/>
  <c r="AE9" i="12" s="1"/>
  <c r="AC9" i="12"/>
  <c r="AG9" i="12" s="1"/>
  <c r="AD8" i="12"/>
  <c r="AE8" i="12" s="1"/>
  <c r="AC8" i="12"/>
  <c r="AG8" i="12" s="1"/>
  <c r="AD7" i="12"/>
  <c r="AE7" i="12" s="1"/>
  <c r="AC7" i="12"/>
  <c r="AG7" i="12" s="1"/>
  <c r="AG45" i="12" s="1"/>
  <c r="AG47" i="12" s="1"/>
  <c r="AD6" i="12"/>
  <c r="AE6" i="12" s="1"/>
  <c r="AC6" i="12"/>
  <c r="AG6" i="12" s="1"/>
  <c r="AD5" i="12"/>
  <c r="AE5" i="12" s="1"/>
  <c r="AC5" i="12"/>
  <c r="AG5" i="12" s="1"/>
  <c r="AD4" i="12"/>
  <c r="AE4" i="12" s="1"/>
  <c r="AC4" i="12"/>
  <c r="AG4" i="12" s="1"/>
  <c r="AD3" i="12"/>
  <c r="AE3" i="12" s="1"/>
  <c r="AC3" i="12"/>
  <c r="AG3" i="12" s="1"/>
  <c r="L60" i="12"/>
  <c r="M60" i="12" s="1"/>
  <c r="K60" i="12"/>
  <c r="O60" i="12" s="1"/>
  <c r="L59" i="12"/>
  <c r="M59" i="12" s="1"/>
  <c r="K59" i="12"/>
  <c r="O59" i="12" s="1"/>
  <c r="L58" i="12"/>
  <c r="M58" i="12" s="1"/>
  <c r="K58" i="12"/>
  <c r="O58" i="12" s="1"/>
  <c r="L57" i="12"/>
  <c r="M57" i="12" s="1"/>
  <c r="K57" i="12"/>
  <c r="O57" i="12" s="1"/>
  <c r="L56" i="12"/>
  <c r="M56" i="12" s="1"/>
  <c r="K56" i="12"/>
  <c r="O56" i="12" s="1"/>
  <c r="L55" i="12"/>
  <c r="M55" i="12" s="1"/>
  <c r="K55" i="12"/>
  <c r="O55" i="12" s="1"/>
  <c r="L54" i="12"/>
  <c r="M54" i="12" s="1"/>
  <c r="K54" i="12"/>
  <c r="O54" i="12" s="1"/>
  <c r="O53" i="12"/>
  <c r="M53" i="12"/>
  <c r="L53" i="12"/>
  <c r="K53" i="12"/>
  <c r="L52" i="12"/>
  <c r="M52" i="12" s="1"/>
  <c r="K52" i="12"/>
  <c r="O52" i="12" s="1"/>
  <c r="L51" i="12"/>
  <c r="M51" i="12" s="1"/>
  <c r="K51" i="12"/>
  <c r="O51" i="12" s="1"/>
  <c r="L50" i="12"/>
  <c r="M50" i="12" s="1"/>
  <c r="K50" i="12"/>
  <c r="O50" i="12" s="1"/>
  <c r="L49" i="12"/>
  <c r="M49" i="12" s="1"/>
  <c r="K49" i="12"/>
  <c r="O49" i="12" s="1"/>
  <c r="O48" i="12"/>
  <c r="L48" i="12"/>
  <c r="M48" i="12" s="1"/>
  <c r="K48" i="12"/>
  <c r="L47" i="12"/>
  <c r="M47" i="12" s="1"/>
  <c r="K47" i="12"/>
  <c r="O47" i="12" s="1"/>
  <c r="L46" i="12"/>
  <c r="M46" i="12" s="1"/>
  <c r="K46" i="12"/>
  <c r="O46" i="12" s="1"/>
  <c r="L45" i="12"/>
  <c r="M45" i="12" s="1"/>
  <c r="K45" i="12"/>
  <c r="O45" i="12" s="1"/>
  <c r="L44" i="12"/>
  <c r="M44" i="12" s="1"/>
  <c r="K44" i="12"/>
  <c r="O44" i="12" s="1"/>
  <c r="L43" i="12"/>
  <c r="M43" i="12" s="1"/>
  <c r="K43" i="12"/>
  <c r="O43" i="12" s="1"/>
  <c r="L42" i="12"/>
  <c r="M42" i="12" s="1"/>
  <c r="K42" i="12"/>
  <c r="O42" i="12" s="1"/>
  <c r="L41" i="12"/>
  <c r="M41" i="12" s="1"/>
  <c r="K41" i="12"/>
  <c r="O41" i="12" s="1"/>
  <c r="L40" i="12"/>
  <c r="M40" i="12" s="1"/>
  <c r="K40" i="12"/>
  <c r="O40" i="12" s="1"/>
  <c r="L39" i="12"/>
  <c r="M39" i="12" s="1"/>
  <c r="K39" i="12"/>
  <c r="O39" i="12" s="1"/>
  <c r="L38" i="12"/>
  <c r="M38" i="12" s="1"/>
  <c r="K38" i="12"/>
  <c r="O38" i="12" s="1"/>
  <c r="L37" i="12"/>
  <c r="M37" i="12" s="1"/>
  <c r="K37" i="12"/>
  <c r="O37" i="12" s="1"/>
  <c r="L36" i="12"/>
  <c r="M36" i="12" s="1"/>
  <c r="K36" i="12"/>
  <c r="O36" i="12" s="1"/>
  <c r="L35" i="12"/>
  <c r="M35" i="12" s="1"/>
  <c r="K35" i="12"/>
  <c r="O35" i="12" s="1"/>
  <c r="L34" i="12"/>
  <c r="M34" i="12" s="1"/>
  <c r="K34" i="12"/>
  <c r="O34" i="12" s="1"/>
  <c r="L33" i="12"/>
  <c r="M33" i="12" s="1"/>
  <c r="K33" i="12"/>
  <c r="O33" i="12" s="1"/>
  <c r="L32" i="12"/>
  <c r="M32" i="12" s="1"/>
  <c r="K32" i="12"/>
  <c r="O32" i="12" s="1"/>
  <c r="L31" i="12"/>
  <c r="M31" i="12" s="1"/>
  <c r="K31" i="12"/>
  <c r="O31" i="12" s="1"/>
  <c r="L30" i="12"/>
  <c r="M30" i="12" s="1"/>
  <c r="K30" i="12"/>
  <c r="O30" i="12" s="1"/>
  <c r="L29" i="12"/>
  <c r="M29" i="12" s="1"/>
  <c r="K29" i="12"/>
  <c r="O29" i="12" s="1"/>
  <c r="L28" i="12"/>
  <c r="M28" i="12" s="1"/>
  <c r="K28" i="12"/>
  <c r="O28" i="12" s="1"/>
  <c r="L27" i="12"/>
  <c r="M27" i="12" s="1"/>
  <c r="K27" i="12"/>
  <c r="O27" i="12" s="1"/>
  <c r="L26" i="12"/>
  <c r="M26" i="12" s="1"/>
  <c r="K26" i="12"/>
  <c r="O26" i="12" s="1"/>
  <c r="L25" i="12"/>
  <c r="M25" i="12" s="1"/>
  <c r="K25" i="12"/>
  <c r="O25" i="12" s="1"/>
  <c r="L24" i="12"/>
  <c r="M24" i="12" s="1"/>
  <c r="K24" i="12"/>
  <c r="O24" i="12" s="1"/>
  <c r="L23" i="12"/>
  <c r="M23" i="12" s="1"/>
  <c r="K23" i="12"/>
  <c r="O23" i="12" s="1"/>
  <c r="L22" i="12"/>
  <c r="M22" i="12" s="1"/>
  <c r="K22" i="12"/>
  <c r="O22" i="12" s="1"/>
  <c r="L21" i="12"/>
  <c r="M21" i="12" s="1"/>
  <c r="K21" i="12"/>
  <c r="O21" i="12" s="1"/>
  <c r="O20" i="12"/>
  <c r="L20" i="12"/>
  <c r="M20" i="12" s="1"/>
  <c r="K20" i="12"/>
  <c r="L19" i="12"/>
  <c r="M19" i="12" s="1"/>
  <c r="K19" i="12"/>
  <c r="O19" i="12" s="1"/>
  <c r="L18" i="12"/>
  <c r="M18" i="12" s="1"/>
  <c r="K18" i="12"/>
  <c r="O18" i="12" s="1"/>
  <c r="L17" i="12"/>
  <c r="M17" i="12" s="1"/>
  <c r="K17" i="12"/>
  <c r="O17" i="12" s="1"/>
  <c r="L16" i="12"/>
  <c r="M16" i="12" s="1"/>
  <c r="K16" i="12"/>
  <c r="O16" i="12" s="1"/>
  <c r="L15" i="12"/>
  <c r="M15" i="12" s="1"/>
  <c r="K15" i="12"/>
  <c r="O15" i="12" s="1"/>
  <c r="L14" i="12"/>
  <c r="M14" i="12" s="1"/>
  <c r="K14" i="12"/>
  <c r="O14" i="12" s="1"/>
  <c r="L13" i="12"/>
  <c r="M13" i="12" s="1"/>
  <c r="K13" i="12"/>
  <c r="O13" i="12" s="1"/>
  <c r="O12" i="12"/>
  <c r="M12" i="12"/>
  <c r="L12" i="12"/>
  <c r="K12" i="12"/>
  <c r="L11" i="12"/>
  <c r="M11" i="12" s="1"/>
  <c r="K11" i="12"/>
  <c r="O11" i="12" s="1"/>
  <c r="L10" i="12"/>
  <c r="M10" i="12" s="1"/>
  <c r="K10" i="12"/>
  <c r="O10" i="12" s="1"/>
  <c r="L9" i="12"/>
  <c r="M9" i="12" s="1"/>
  <c r="K9" i="12"/>
  <c r="O9" i="12" s="1"/>
  <c r="L8" i="12"/>
  <c r="M8" i="12" s="1"/>
  <c r="K8" i="12"/>
  <c r="O8" i="12" s="1"/>
  <c r="L7" i="12"/>
  <c r="M7" i="12" s="1"/>
  <c r="K7" i="12"/>
  <c r="O7" i="12" s="1"/>
  <c r="L6" i="12"/>
  <c r="M6" i="12" s="1"/>
  <c r="K6" i="12"/>
  <c r="O6" i="12" s="1"/>
  <c r="O5" i="12"/>
  <c r="L5" i="12"/>
  <c r="M5" i="12" s="1"/>
  <c r="K5" i="12"/>
  <c r="L4" i="12"/>
  <c r="M4" i="12" s="1"/>
  <c r="K4" i="12"/>
  <c r="O4" i="12" s="1"/>
  <c r="L3" i="12"/>
  <c r="M3" i="12" s="1"/>
  <c r="K3" i="12"/>
  <c r="O3" i="12" s="1"/>
  <c r="BG86" i="11"/>
  <c r="BG85" i="11"/>
  <c r="BE83" i="11"/>
  <c r="BG83" i="11"/>
  <c r="BG81" i="11"/>
  <c r="BG56" i="11"/>
  <c r="BG57" i="11"/>
  <c r="BG62" i="11" s="1"/>
  <c r="BG64" i="11" s="1"/>
  <c r="BG58" i="11"/>
  <c r="BG59" i="11"/>
  <c r="BG60" i="11"/>
  <c r="BE62" i="11"/>
  <c r="BG65" i="11" s="1"/>
  <c r="BD80" i="11"/>
  <c r="BE80" i="11" s="1"/>
  <c r="BC80" i="11"/>
  <c r="BG80" i="11" s="1"/>
  <c r="BG79" i="11"/>
  <c r="BD79" i="11"/>
  <c r="BE79" i="11" s="1"/>
  <c r="BC79" i="11"/>
  <c r="BG78" i="11"/>
  <c r="BE78" i="11"/>
  <c r="BD78" i="11"/>
  <c r="BC78" i="11"/>
  <c r="BD77" i="11"/>
  <c r="BE77" i="11" s="1"/>
  <c r="BC77" i="11"/>
  <c r="BG77" i="11" s="1"/>
  <c r="BG76" i="11"/>
  <c r="BD76" i="11"/>
  <c r="BE76" i="11" s="1"/>
  <c r="BC76" i="11"/>
  <c r="BD75" i="11"/>
  <c r="BE75" i="11" s="1"/>
  <c r="BC75" i="11"/>
  <c r="BG75" i="11" s="1"/>
  <c r="BG74" i="11"/>
  <c r="BE74" i="11"/>
  <c r="BD74" i="11"/>
  <c r="BC74" i="11"/>
  <c r="BG73" i="11"/>
  <c r="BE73" i="11"/>
  <c r="BD73" i="11"/>
  <c r="BC73" i="11"/>
  <c r="BD72" i="11"/>
  <c r="BE72" i="11" s="1"/>
  <c r="BC72" i="11"/>
  <c r="BG72" i="11" s="1"/>
  <c r="BD55" i="11"/>
  <c r="BE55" i="11" s="1"/>
  <c r="BC55" i="11"/>
  <c r="BG55" i="11" s="1"/>
  <c r="BG54" i="11"/>
  <c r="BD54" i="11"/>
  <c r="BE54" i="11" s="1"/>
  <c r="BC54" i="11"/>
  <c r="BG53" i="11"/>
  <c r="BE53" i="11"/>
  <c r="BD53" i="11"/>
  <c r="BC53" i="11"/>
  <c r="BD52" i="11"/>
  <c r="BE52" i="11" s="1"/>
  <c r="BC52" i="11"/>
  <c r="BG52" i="11" s="1"/>
  <c r="BG51" i="11"/>
  <c r="BD51" i="11"/>
  <c r="BE51" i="11" s="1"/>
  <c r="BC51" i="11"/>
  <c r="BD50" i="11"/>
  <c r="BE50" i="11" s="1"/>
  <c r="BC50" i="11"/>
  <c r="BG50" i="11" s="1"/>
  <c r="BG49" i="11"/>
  <c r="BD49" i="11"/>
  <c r="BE49" i="11" s="1"/>
  <c r="BC49" i="11"/>
  <c r="BG48" i="11"/>
  <c r="BE48" i="11"/>
  <c r="BD48" i="11"/>
  <c r="BC48" i="11"/>
  <c r="BD47" i="11"/>
  <c r="BE47" i="11" s="1"/>
  <c r="BC47" i="11"/>
  <c r="BG47" i="11" s="1"/>
  <c r="BG46" i="11"/>
  <c r="BD46" i="11"/>
  <c r="BE46" i="11" s="1"/>
  <c r="BC46" i="11"/>
  <c r="BD45" i="11"/>
  <c r="BE45" i="11" s="1"/>
  <c r="BC45" i="11"/>
  <c r="BG45" i="11" s="1"/>
  <c r="BG44" i="11"/>
  <c r="BD44" i="11"/>
  <c r="BE44" i="11" s="1"/>
  <c r="BC44" i="11"/>
  <c r="BG43" i="11"/>
  <c r="BE43" i="11"/>
  <c r="BD43" i="11"/>
  <c r="BC43" i="11"/>
  <c r="BD42" i="11"/>
  <c r="BE42" i="11" s="1"/>
  <c r="BC42" i="11"/>
  <c r="BG42" i="11" s="1"/>
  <c r="BG38" i="11"/>
  <c r="BG37" i="11"/>
  <c r="BE35" i="11"/>
  <c r="BG35" i="11"/>
  <c r="BG30" i="11"/>
  <c r="BG31" i="11"/>
  <c r="BG32" i="11"/>
  <c r="BG33" i="11"/>
  <c r="BG29" i="11"/>
  <c r="BG21" i="11"/>
  <c r="BG20" i="11"/>
  <c r="BE18" i="11"/>
  <c r="BG18" i="11"/>
  <c r="BG4" i="11"/>
  <c r="BG5" i="11"/>
  <c r="BG6" i="11"/>
  <c r="BG7" i="11"/>
  <c r="BG8" i="11"/>
  <c r="BG9" i="11"/>
  <c r="BG10" i="11"/>
  <c r="BG11" i="11"/>
  <c r="BG12" i="11"/>
  <c r="BG13" i="11"/>
  <c r="BG14" i="11"/>
  <c r="BG15" i="11"/>
  <c r="BG16" i="11"/>
  <c r="BG3" i="11"/>
  <c r="BE4" i="11"/>
  <c r="BE5" i="11"/>
  <c r="BE6" i="11"/>
  <c r="BE7" i="11"/>
  <c r="BE8" i="11"/>
  <c r="BE9" i="11"/>
  <c r="BE10" i="11"/>
  <c r="BE11" i="11"/>
  <c r="BE12" i="11"/>
  <c r="BE13" i="11"/>
  <c r="BE14" i="11"/>
  <c r="BE15" i="11"/>
  <c r="BE16" i="11"/>
  <c r="BE3" i="11"/>
  <c r="BD4" i="11"/>
  <c r="BD5" i="11"/>
  <c r="BD6" i="11"/>
  <c r="BD7" i="11"/>
  <c r="BD8" i="11"/>
  <c r="BD9" i="11"/>
  <c r="BD10" i="11"/>
  <c r="BD11" i="11"/>
  <c r="BD12" i="11"/>
  <c r="BD13" i="11"/>
  <c r="BD14" i="11"/>
  <c r="BD15" i="11"/>
  <c r="BD16" i="11"/>
  <c r="BD3" i="11"/>
  <c r="BC4" i="11"/>
  <c r="BC5" i="11"/>
  <c r="BC6" i="11"/>
  <c r="BC7" i="11"/>
  <c r="BC8" i="11"/>
  <c r="BC9" i="11"/>
  <c r="BC10" i="11"/>
  <c r="BC11" i="11"/>
  <c r="BC12" i="11"/>
  <c r="BC13" i="11"/>
  <c r="BC14" i="11"/>
  <c r="BC15" i="11"/>
  <c r="BC16" i="11"/>
  <c r="BC3" i="11"/>
  <c r="AN83" i="11"/>
  <c r="AN82" i="11"/>
  <c r="AL80" i="11"/>
  <c r="AN80" i="11"/>
  <c r="AK78" i="11"/>
  <c r="AL78" i="11" s="1"/>
  <c r="AJ78" i="11"/>
  <c r="AN78" i="11" s="1"/>
  <c r="AK77" i="11"/>
  <c r="AL77" i="11" s="1"/>
  <c r="AJ77" i="11"/>
  <c r="AN77" i="11" s="1"/>
  <c r="AN76" i="11"/>
  <c r="AL76" i="11"/>
  <c r="AK76" i="11"/>
  <c r="AJ76" i="11"/>
  <c r="AN75" i="11"/>
  <c r="AL75" i="11"/>
  <c r="AK75" i="11"/>
  <c r="AJ75" i="11"/>
  <c r="AK74" i="11"/>
  <c r="AL74" i="11" s="1"/>
  <c r="AJ74" i="11"/>
  <c r="AN74" i="11" s="1"/>
  <c r="AN73" i="11"/>
  <c r="AK73" i="11"/>
  <c r="AL73" i="11" s="1"/>
  <c r="AJ73" i="11"/>
  <c r="AK72" i="11"/>
  <c r="AL72" i="11" s="1"/>
  <c r="AJ72" i="11"/>
  <c r="AN72" i="11" s="1"/>
  <c r="AN71" i="11"/>
  <c r="AL71" i="11"/>
  <c r="AK71" i="11"/>
  <c r="AJ71" i="11"/>
  <c r="AN70" i="11"/>
  <c r="AL70" i="11"/>
  <c r="AK70" i="11"/>
  <c r="AJ70" i="11"/>
  <c r="AK69" i="11"/>
  <c r="AL69" i="11" s="1"/>
  <c r="AJ69" i="11"/>
  <c r="AN69" i="11" s="1"/>
  <c r="AN62" i="11"/>
  <c r="AN61" i="11"/>
  <c r="AL59" i="11"/>
  <c r="AN59" i="11"/>
  <c r="AK57" i="11"/>
  <c r="AL57" i="11" s="1"/>
  <c r="AJ57" i="11"/>
  <c r="AN57" i="11" s="1"/>
  <c r="AN56" i="11"/>
  <c r="AK56" i="11"/>
  <c r="AL56" i="11" s="1"/>
  <c r="AJ56" i="11"/>
  <c r="AN55" i="11"/>
  <c r="AL55" i="11"/>
  <c r="AK55" i="11"/>
  <c r="AJ55" i="11"/>
  <c r="AK54" i="11"/>
  <c r="AL54" i="11" s="1"/>
  <c r="AJ54" i="11"/>
  <c r="AN54" i="11" s="1"/>
  <c r="AN53" i="11"/>
  <c r="AK53" i="11"/>
  <c r="AL53" i="11" s="1"/>
  <c r="AJ53" i="11"/>
  <c r="AN52" i="11"/>
  <c r="AK52" i="11"/>
  <c r="AL52" i="11" s="1"/>
  <c r="AJ52" i="11"/>
  <c r="AK51" i="11"/>
  <c r="AL51" i="11" s="1"/>
  <c r="AJ51" i="11"/>
  <c r="AN51" i="11" s="1"/>
  <c r="AN50" i="11"/>
  <c r="AK50" i="11"/>
  <c r="AL50" i="11" s="1"/>
  <c r="AJ50" i="11"/>
  <c r="AK49" i="11"/>
  <c r="AL49" i="11" s="1"/>
  <c r="AJ49" i="11"/>
  <c r="AN49" i="11" s="1"/>
  <c r="AL48" i="11"/>
  <c r="AK48" i="11"/>
  <c r="AJ48" i="11"/>
  <c r="AN48" i="11" s="1"/>
  <c r="AN47" i="11"/>
  <c r="AK47" i="11"/>
  <c r="AL47" i="11" s="1"/>
  <c r="AJ47" i="11"/>
  <c r="AK46" i="11"/>
  <c r="AL46" i="11" s="1"/>
  <c r="AJ46" i="11"/>
  <c r="AN46" i="11" s="1"/>
  <c r="AN45" i="11"/>
  <c r="AK45" i="11"/>
  <c r="AL45" i="11" s="1"/>
  <c r="AJ45" i="11"/>
  <c r="AK44" i="11"/>
  <c r="AL44" i="11" s="1"/>
  <c r="AJ44" i="11"/>
  <c r="AN44" i="11" s="1"/>
  <c r="AL43" i="11"/>
  <c r="AK43" i="11"/>
  <c r="AJ43" i="11"/>
  <c r="AN43" i="11" s="1"/>
  <c r="AN42" i="11"/>
  <c r="AK42" i="11"/>
  <c r="AL42" i="11" s="1"/>
  <c r="AJ42" i="11"/>
  <c r="AK41" i="11"/>
  <c r="AL41" i="11" s="1"/>
  <c r="AJ41" i="11"/>
  <c r="AN41" i="11" s="1"/>
  <c r="AN40" i="11"/>
  <c r="AK40" i="11"/>
  <c r="AL40" i="11" s="1"/>
  <c r="AJ40" i="11"/>
  <c r="AK39" i="11"/>
  <c r="AL39" i="11" s="1"/>
  <c r="AJ39" i="11"/>
  <c r="AN39" i="11" s="1"/>
  <c r="AN36" i="11"/>
  <c r="AN35" i="11"/>
  <c r="AL33" i="11"/>
  <c r="AN33" i="11"/>
  <c r="AN28" i="11"/>
  <c r="AN29" i="11"/>
  <c r="AN30" i="11"/>
  <c r="AN31" i="11"/>
  <c r="AN27" i="11"/>
  <c r="AL28" i="11"/>
  <c r="AL29" i="11"/>
  <c r="AL30" i="11"/>
  <c r="AL31" i="11"/>
  <c r="AL27" i="11"/>
  <c r="AK28" i="11"/>
  <c r="AK29" i="11"/>
  <c r="AK30" i="11"/>
  <c r="AK31" i="11"/>
  <c r="AK27" i="11"/>
  <c r="AJ28" i="11"/>
  <c r="AJ29" i="11"/>
  <c r="AJ30" i="11"/>
  <c r="AJ31" i="11"/>
  <c r="AJ27" i="11"/>
  <c r="AN21" i="11"/>
  <c r="AN20" i="11"/>
  <c r="AL18" i="11"/>
  <c r="AN18" i="11"/>
  <c r="AN4" i="11"/>
  <c r="AN5" i="11"/>
  <c r="AN6" i="11"/>
  <c r="AN7" i="11"/>
  <c r="AN8" i="11"/>
  <c r="AN9" i="11"/>
  <c r="AN10" i="11"/>
  <c r="AN11" i="11"/>
  <c r="AN12" i="11"/>
  <c r="AN13" i="11"/>
  <c r="AN14" i="11"/>
  <c r="AN15" i="11"/>
  <c r="AN16" i="11"/>
  <c r="AN3" i="11"/>
  <c r="AL4" i="11"/>
  <c r="AL5" i="11"/>
  <c r="AL6" i="11"/>
  <c r="AL7" i="11"/>
  <c r="AL8" i="11"/>
  <c r="AL9" i="11"/>
  <c r="AL10" i="11"/>
  <c r="AL11" i="11"/>
  <c r="AL12" i="11"/>
  <c r="AL13" i="11"/>
  <c r="AL14" i="11"/>
  <c r="AL15" i="11"/>
  <c r="AL16" i="11"/>
  <c r="AL3" i="11"/>
  <c r="AK4" i="11"/>
  <c r="AK5" i="11"/>
  <c r="AK6" i="11"/>
  <c r="AK7" i="11"/>
  <c r="AK8" i="11"/>
  <c r="AK9" i="11"/>
  <c r="AK10" i="11"/>
  <c r="AK11" i="11"/>
  <c r="AK12" i="11"/>
  <c r="AK13" i="11"/>
  <c r="AK14" i="11"/>
  <c r="AK15" i="11"/>
  <c r="AK16" i="11"/>
  <c r="AK3" i="11"/>
  <c r="AJ4" i="11"/>
  <c r="AJ5" i="11"/>
  <c r="AJ6" i="11"/>
  <c r="AJ7" i="11"/>
  <c r="AJ8" i="11"/>
  <c r="AJ9" i="11"/>
  <c r="AJ10" i="11"/>
  <c r="AJ11" i="11"/>
  <c r="AJ12" i="11"/>
  <c r="AJ13" i="11"/>
  <c r="AJ14" i="11"/>
  <c r="AJ15" i="11"/>
  <c r="AJ16" i="11"/>
  <c r="AJ3" i="11"/>
  <c r="BO80" i="10"/>
  <c r="BO79" i="10"/>
  <c r="BM77" i="10"/>
  <c r="BO77" i="10"/>
  <c r="BO75" i="10"/>
  <c r="BO74" i="10"/>
  <c r="BL73" i="10"/>
  <c r="BM73" i="10" s="1"/>
  <c r="BK73" i="10"/>
  <c r="BO73" i="10" s="1"/>
  <c r="BO72" i="10"/>
  <c r="BM72" i="10"/>
  <c r="BL72" i="10"/>
  <c r="BK72" i="10"/>
  <c r="BO71" i="10"/>
  <c r="BL71" i="10"/>
  <c r="BM71" i="10" s="1"/>
  <c r="BK71" i="10"/>
  <c r="BL70" i="10"/>
  <c r="BM70" i="10" s="1"/>
  <c r="BK70" i="10"/>
  <c r="BO70" i="10" s="1"/>
  <c r="BL69" i="10"/>
  <c r="BM69" i="10" s="1"/>
  <c r="BK69" i="10"/>
  <c r="BO69" i="10" s="1"/>
  <c r="BO68" i="10"/>
  <c r="BL68" i="10"/>
  <c r="BM68" i="10" s="1"/>
  <c r="BK68" i="10"/>
  <c r="BO67" i="10"/>
  <c r="BM67" i="10"/>
  <c r="BL67" i="10"/>
  <c r="BK67" i="10"/>
  <c r="BO66" i="10"/>
  <c r="BL66" i="10"/>
  <c r="BM66" i="10" s="1"/>
  <c r="BK66" i="10"/>
  <c r="BL65" i="10"/>
  <c r="BM65" i="10" s="1"/>
  <c r="BK65" i="10"/>
  <c r="BO65" i="10" s="1"/>
  <c r="BL64" i="10"/>
  <c r="BM64" i="10" s="1"/>
  <c r="BK64" i="10"/>
  <c r="BO64" i="10" s="1"/>
  <c r="BO63" i="10"/>
  <c r="BL63" i="10"/>
  <c r="BM63" i="10" s="1"/>
  <c r="BK63" i="10"/>
  <c r="BO59" i="10"/>
  <c r="BO58" i="10"/>
  <c r="BM56" i="10"/>
  <c r="BO56" i="10"/>
  <c r="BO54" i="10"/>
  <c r="BL54" i="10"/>
  <c r="BM54" i="10" s="1"/>
  <c r="BK54" i="10"/>
  <c r="BL53" i="10"/>
  <c r="BM53" i="10" s="1"/>
  <c r="BK53" i="10"/>
  <c r="BO53" i="10" s="1"/>
  <c r="BO52" i="10"/>
  <c r="BO51" i="10"/>
  <c r="BL50" i="10"/>
  <c r="BM50" i="10" s="1"/>
  <c r="BK50" i="10"/>
  <c r="BO50" i="10" s="1"/>
  <c r="BL49" i="10"/>
  <c r="BM49" i="10" s="1"/>
  <c r="BK49" i="10"/>
  <c r="BO49" i="10" s="1"/>
  <c r="BO48" i="10"/>
  <c r="BM48" i="10"/>
  <c r="BL48" i="10"/>
  <c r="BK48" i="10"/>
  <c r="BL47" i="10"/>
  <c r="BM47" i="10" s="1"/>
  <c r="BK47" i="10"/>
  <c r="BO47" i="10" s="1"/>
  <c r="BO46" i="10"/>
  <c r="BL46" i="10"/>
  <c r="BM46" i="10" s="1"/>
  <c r="BK46" i="10"/>
  <c r="BO45" i="10"/>
  <c r="BL45" i="10"/>
  <c r="BM45" i="10" s="1"/>
  <c r="BK45" i="10"/>
  <c r="BL44" i="10"/>
  <c r="BM44" i="10" s="1"/>
  <c r="BK44" i="10"/>
  <c r="BO44" i="10" s="1"/>
  <c r="BO43" i="10"/>
  <c r="BM43" i="10"/>
  <c r="BL43" i="10"/>
  <c r="BK43" i="10"/>
  <c r="BL42" i="10"/>
  <c r="BM42" i="10" s="1"/>
  <c r="BK42" i="10"/>
  <c r="BO42" i="10" s="1"/>
  <c r="BO41" i="10"/>
  <c r="BL41" i="10"/>
  <c r="BM41" i="10" s="1"/>
  <c r="BK41" i="10"/>
  <c r="BO40" i="10"/>
  <c r="BL40" i="10"/>
  <c r="BM40" i="10" s="1"/>
  <c r="BK40" i="10"/>
  <c r="BL39" i="10"/>
  <c r="BM39" i="10" s="1"/>
  <c r="BK39" i="10"/>
  <c r="BO39" i="10" s="1"/>
  <c r="BO38" i="10"/>
  <c r="BM38" i="10"/>
  <c r="BL38" i="10"/>
  <c r="BK38" i="10"/>
  <c r="BO33" i="10"/>
  <c r="BO32" i="10"/>
  <c r="BM30" i="10"/>
  <c r="BO30" i="10"/>
  <c r="BO20" i="10"/>
  <c r="BO19" i="10"/>
  <c r="BM17" i="10"/>
  <c r="BO17" i="10"/>
  <c r="BO4" i="10"/>
  <c r="BO5" i="10"/>
  <c r="BO6" i="10"/>
  <c r="BO7" i="10"/>
  <c r="BO8" i="10"/>
  <c r="BO9" i="10"/>
  <c r="BO10" i="10"/>
  <c r="BO11" i="10"/>
  <c r="BO12" i="10"/>
  <c r="BO13" i="10"/>
  <c r="BO14" i="10"/>
  <c r="BO15" i="10"/>
  <c r="BO3" i="10"/>
  <c r="BM4" i="10"/>
  <c r="BM5" i="10"/>
  <c r="BM6" i="10"/>
  <c r="BM7" i="10"/>
  <c r="BM8" i="10"/>
  <c r="BM9" i="10"/>
  <c r="BM10" i="10"/>
  <c r="BM11" i="10"/>
  <c r="BM12" i="10"/>
  <c r="BM13" i="10"/>
  <c r="BM14" i="10"/>
  <c r="BM15" i="10"/>
  <c r="BL4" i="10"/>
  <c r="BL5" i="10"/>
  <c r="BL6" i="10"/>
  <c r="BL7" i="10"/>
  <c r="BL8" i="10"/>
  <c r="BL9" i="10"/>
  <c r="BL10" i="10"/>
  <c r="BL11" i="10"/>
  <c r="BL12" i="10"/>
  <c r="BL13" i="10"/>
  <c r="BL14" i="10"/>
  <c r="BL15" i="10"/>
  <c r="BK4" i="10"/>
  <c r="BK5" i="10"/>
  <c r="BK6" i="10"/>
  <c r="BK7" i="10"/>
  <c r="BK8" i="10"/>
  <c r="BK9" i="10"/>
  <c r="BK10" i="10"/>
  <c r="BK11" i="10"/>
  <c r="BK12" i="10"/>
  <c r="BK13" i="10"/>
  <c r="BK14" i="10"/>
  <c r="BK15" i="10"/>
  <c r="W71" i="11"/>
  <c r="W70" i="11"/>
  <c r="U68" i="11"/>
  <c r="W68" i="11"/>
  <c r="T66" i="11"/>
  <c r="U66" i="11" s="1"/>
  <c r="S66" i="11"/>
  <c r="W66" i="11" s="1"/>
  <c r="T65" i="11"/>
  <c r="U65" i="11" s="1"/>
  <c r="S65" i="11"/>
  <c r="W65" i="11" s="1"/>
  <c r="W64" i="11"/>
  <c r="T64" i="11"/>
  <c r="U64" i="11" s="1"/>
  <c r="S64" i="11"/>
  <c r="W63" i="11"/>
  <c r="U63" i="11"/>
  <c r="T63" i="11"/>
  <c r="S63" i="11"/>
  <c r="T62" i="11"/>
  <c r="U62" i="11" s="1"/>
  <c r="S62" i="11"/>
  <c r="W62" i="11" s="1"/>
  <c r="W61" i="11"/>
  <c r="T61" i="11"/>
  <c r="U61" i="11" s="1"/>
  <c r="S61" i="11"/>
  <c r="T60" i="11"/>
  <c r="U60" i="11" s="1"/>
  <c r="S60" i="11"/>
  <c r="W60" i="11" s="1"/>
  <c r="W54" i="11"/>
  <c r="W53" i="11"/>
  <c r="U51" i="11"/>
  <c r="W51" i="11"/>
  <c r="T49" i="11"/>
  <c r="U49" i="11" s="1"/>
  <c r="S49" i="11"/>
  <c r="W49" i="11" s="1"/>
  <c r="W48" i="11"/>
  <c r="U48" i="11"/>
  <c r="T48" i="11"/>
  <c r="S48" i="11"/>
  <c r="W47" i="11"/>
  <c r="U47" i="11"/>
  <c r="T47" i="11"/>
  <c r="S47" i="11"/>
  <c r="T46" i="11"/>
  <c r="U46" i="11" s="1"/>
  <c r="S46" i="11"/>
  <c r="W46" i="11" s="1"/>
  <c r="T45" i="11"/>
  <c r="U45" i="11" s="1"/>
  <c r="S45" i="11"/>
  <c r="W45" i="11" s="1"/>
  <c r="T44" i="11"/>
  <c r="U44" i="11" s="1"/>
  <c r="S44" i="11"/>
  <c r="W44" i="11" s="1"/>
  <c r="T43" i="11"/>
  <c r="U43" i="11" s="1"/>
  <c r="S43" i="11"/>
  <c r="W43" i="11" s="1"/>
  <c r="W42" i="11"/>
  <c r="U42" i="11"/>
  <c r="T42" i="11"/>
  <c r="S42" i="11"/>
  <c r="T41" i="11"/>
  <c r="U41" i="11" s="1"/>
  <c r="S41" i="11"/>
  <c r="W41" i="11" s="1"/>
  <c r="T40" i="11"/>
  <c r="U40" i="11" s="1"/>
  <c r="S40" i="11"/>
  <c r="W40" i="11" s="1"/>
  <c r="T39" i="11"/>
  <c r="U39" i="11" s="1"/>
  <c r="S39" i="11"/>
  <c r="W39" i="11" s="1"/>
  <c r="T38" i="11"/>
  <c r="U38" i="11" s="1"/>
  <c r="S38" i="11"/>
  <c r="W38" i="11" s="1"/>
  <c r="W37" i="11"/>
  <c r="U37" i="11"/>
  <c r="T37" i="11"/>
  <c r="S37" i="11"/>
  <c r="T36" i="11"/>
  <c r="U36" i="11" s="1"/>
  <c r="S36" i="11"/>
  <c r="W36" i="11" s="1"/>
  <c r="W31" i="11"/>
  <c r="W30" i="11"/>
  <c r="U28" i="11"/>
  <c r="W28" i="11"/>
  <c r="W23" i="11"/>
  <c r="W24" i="11"/>
  <c r="W25" i="11"/>
  <c r="W26" i="11"/>
  <c r="W22" i="11"/>
  <c r="U23" i="11"/>
  <c r="U24" i="11"/>
  <c r="U25" i="11"/>
  <c r="U26" i="11"/>
  <c r="U22" i="11"/>
  <c r="T23" i="11"/>
  <c r="T24" i="11"/>
  <c r="T25" i="11"/>
  <c r="T26" i="11"/>
  <c r="T22" i="11"/>
  <c r="S23" i="11"/>
  <c r="S24" i="11"/>
  <c r="S25" i="11"/>
  <c r="S26" i="11"/>
  <c r="S22" i="11"/>
  <c r="W16" i="11"/>
  <c r="W15" i="11"/>
  <c r="U13" i="11"/>
  <c r="W13" i="11"/>
  <c r="W4" i="11"/>
  <c r="W5" i="11"/>
  <c r="W6" i="11"/>
  <c r="W7" i="11"/>
  <c r="W8" i="11"/>
  <c r="W9" i="11"/>
  <c r="W10" i="11"/>
  <c r="W11" i="11"/>
  <c r="W3" i="11"/>
  <c r="U4" i="11"/>
  <c r="U5" i="11"/>
  <c r="U6" i="11"/>
  <c r="U7" i="11"/>
  <c r="U8" i="11"/>
  <c r="U9" i="11"/>
  <c r="U10" i="11"/>
  <c r="U11" i="11"/>
  <c r="U3" i="11"/>
  <c r="T4" i="11"/>
  <c r="T5" i="11"/>
  <c r="T6" i="11"/>
  <c r="T7" i="11"/>
  <c r="T8" i="11"/>
  <c r="T9" i="11"/>
  <c r="T10" i="11"/>
  <c r="T11" i="11"/>
  <c r="T3" i="11"/>
  <c r="S4" i="11"/>
  <c r="S5" i="11"/>
  <c r="S6" i="11"/>
  <c r="S7" i="11"/>
  <c r="S8" i="11"/>
  <c r="S9" i="11"/>
  <c r="S10" i="11"/>
  <c r="S11" i="11"/>
  <c r="S3" i="11"/>
  <c r="BO26" i="10"/>
  <c r="BO27" i="10"/>
  <c r="BO28" i="10"/>
  <c r="BO25" i="10"/>
  <c r="BL28" i="10"/>
  <c r="BM28" i="10" s="1"/>
  <c r="BK28" i="10"/>
  <c r="BL27" i="10"/>
  <c r="BM27" i="10" s="1"/>
  <c r="BK27" i="10"/>
  <c r="AL82" i="10"/>
  <c r="AN82" i="10"/>
  <c r="AK80" i="10"/>
  <c r="AL80" i="10" s="1"/>
  <c r="AJ80" i="10"/>
  <c r="AN80" i="10" s="1"/>
  <c r="AK79" i="10"/>
  <c r="AL79" i="10" s="1"/>
  <c r="AJ79" i="10"/>
  <c r="AN79" i="10" s="1"/>
  <c r="AK78" i="10"/>
  <c r="AL78" i="10" s="1"/>
  <c r="AJ78" i="10"/>
  <c r="AN78" i="10" s="1"/>
  <c r="AK77" i="10"/>
  <c r="AL77" i="10" s="1"/>
  <c r="AJ77" i="10"/>
  <c r="AN77" i="10" s="1"/>
  <c r="AN76" i="10"/>
  <c r="AL76" i="10"/>
  <c r="AK76" i="10"/>
  <c r="AJ76" i="10"/>
  <c r="AK75" i="10"/>
  <c r="AL75" i="10" s="1"/>
  <c r="AJ75" i="10"/>
  <c r="AN75" i="10" s="1"/>
  <c r="AK74" i="10"/>
  <c r="AL74" i="10" s="1"/>
  <c r="AJ74" i="10"/>
  <c r="AN74" i="10" s="1"/>
  <c r="AK73" i="10"/>
  <c r="AL73" i="10" s="1"/>
  <c r="AJ73" i="10"/>
  <c r="AN73" i="10" s="1"/>
  <c r="AK72" i="10"/>
  <c r="AL72" i="10" s="1"/>
  <c r="AJ72" i="10"/>
  <c r="AN72" i="10" s="1"/>
  <c r="AN71" i="10"/>
  <c r="AL71" i="10"/>
  <c r="AK71" i="10"/>
  <c r="AJ71" i="10"/>
  <c r="AK70" i="10"/>
  <c r="AL70" i="10" s="1"/>
  <c r="AJ70" i="10"/>
  <c r="AN70" i="10" s="1"/>
  <c r="AK69" i="10"/>
  <c r="AL69" i="10" s="1"/>
  <c r="AJ69" i="10"/>
  <c r="AN69" i="10" s="1"/>
  <c r="AK68" i="10"/>
  <c r="AL68" i="10" s="1"/>
  <c r="AJ68" i="10"/>
  <c r="AN68" i="10" s="1"/>
  <c r="AL58" i="10"/>
  <c r="AN58" i="10"/>
  <c r="AK56" i="10"/>
  <c r="AL56" i="10" s="1"/>
  <c r="AJ56" i="10"/>
  <c r="AN56" i="10" s="1"/>
  <c r="AK55" i="10"/>
  <c r="AL55" i="10" s="1"/>
  <c r="AJ55" i="10"/>
  <c r="AN55" i="10" s="1"/>
  <c r="AN54" i="10"/>
  <c r="AL54" i="10"/>
  <c r="AK54" i="10"/>
  <c r="AJ54" i="10"/>
  <c r="AK53" i="10"/>
  <c r="AL53" i="10" s="1"/>
  <c r="AJ53" i="10"/>
  <c r="AN53" i="10" s="1"/>
  <c r="AL52" i="10"/>
  <c r="AK52" i="10"/>
  <c r="AJ52" i="10"/>
  <c r="AN52" i="10" s="1"/>
  <c r="AK51" i="10"/>
  <c r="AL51" i="10" s="1"/>
  <c r="AJ51" i="10"/>
  <c r="AN51" i="10" s="1"/>
  <c r="AN50" i="10"/>
  <c r="AL50" i="10"/>
  <c r="AK50" i="10"/>
  <c r="AJ50" i="10"/>
  <c r="AK49" i="10"/>
  <c r="AL49" i="10" s="1"/>
  <c r="AJ49" i="10"/>
  <c r="AN49" i="10" s="1"/>
  <c r="AK48" i="10"/>
  <c r="AL48" i="10" s="1"/>
  <c r="AJ48" i="10"/>
  <c r="AN48" i="10" s="1"/>
  <c r="AL47" i="10"/>
  <c r="AK47" i="10"/>
  <c r="AJ47" i="10"/>
  <c r="AN47" i="10" s="1"/>
  <c r="AK46" i="10"/>
  <c r="AL46" i="10" s="1"/>
  <c r="AJ46" i="10"/>
  <c r="AN46" i="10" s="1"/>
  <c r="AN45" i="10"/>
  <c r="AL45" i="10"/>
  <c r="AK45" i="10"/>
  <c r="AJ45" i="10"/>
  <c r="AK44" i="10"/>
  <c r="AL44" i="10" s="1"/>
  <c r="AJ44" i="10"/>
  <c r="AN44" i="10" s="1"/>
  <c r="AK43" i="10"/>
  <c r="AL43" i="10" s="1"/>
  <c r="AJ43" i="10"/>
  <c r="AN43" i="10" s="1"/>
  <c r="AL42" i="10"/>
  <c r="AK42" i="10"/>
  <c r="AJ42" i="10"/>
  <c r="AN42" i="10" s="1"/>
  <c r="AK41" i="10"/>
  <c r="AL41" i="10" s="1"/>
  <c r="AJ41" i="10"/>
  <c r="AN41" i="10" s="1"/>
  <c r="AN40" i="10"/>
  <c r="AL40" i="10"/>
  <c r="AK40" i="10"/>
  <c r="AJ40" i="10"/>
  <c r="AN20" i="10"/>
  <c r="AN19" i="10"/>
  <c r="AL17" i="10"/>
  <c r="AN17" i="10"/>
  <c r="BL3" i="10"/>
  <c r="BM3" i="10" s="1"/>
  <c r="BK3" i="10"/>
  <c r="AN33" i="10"/>
  <c r="AN32" i="10"/>
  <c r="AL30" i="10"/>
  <c r="AN30" i="10"/>
  <c r="AN26" i="10"/>
  <c r="AN27" i="10"/>
  <c r="AN28" i="10"/>
  <c r="AN25" i="10"/>
  <c r="AL26" i="10"/>
  <c r="AL27" i="10"/>
  <c r="AL28" i="10"/>
  <c r="AL25" i="10"/>
  <c r="AK26" i="10"/>
  <c r="AK27" i="10"/>
  <c r="AK28" i="10"/>
  <c r="AK25" i="10"/>
  <c r="AJ26" i="10"/>
  <c r="AJ27" i="10"/>
  <c r="AJ28" i="10"/>
  <c r="AJ25" i="10"/>
  <c r="AN4" i="10"/>
  <c r="AN5" i="10"/>
  <c r="AN6" i="10"/>
  <c r="AN7" i="10"/>
  <c r="AN8" i="10"/>
  <c r="AN9" i="10"/>
  <c r="AN10" i="10"/>
  <c r="AN11" i="10"/>
  <c r="AN12" i="10"/>
  <c r="AN13" i="10"/>
  <c r="AN15" i="10"/>
  <c r="AN3" i="10"/>
  <c r="AL4" i="10"/>
  <c r="AL5" i="10"/>
  <c r="AL6" i="10"/>
  <c r="AL7" i="10"/>
  <c r="AL8" i="10"/>
  <c r="AL9" i="10"/>
  <c r="AL10" i="10"/>
  <c r="AL11" i="10"/>
  <c r="AL12" i="10"/>
  <c r="AL13" i="10"/>
  <c r="AL15" i="10"/>
  <c r="AL3" i="10"/>
  <c r="AK4" i="10"/>
  <c r="AK5" i="10"/>
  <c r="AK6" i="10"/>
  <c r="AK7" i="10"/>
  <c r="AK8" i="10"/>
  <c r="AK9" i="10"/>
  <c r="AK10" i="10"/>
  <c r="AK11" i="10"/>
  <c r="AK12" i="10"/>
  <c r="AK13" i="10"/>
  <c r="AK14" i="10"/>
  <c r="AL14" i="10" s="1"/>
  <c r="AK15" i="10"/>
  <c r="AK3" i="10"/>
  <c r="AJ4" i="10"/>
  <c r="AJ5" i="10"/>
  <c r="AJ6" i="10"/>
  <c r="AJ7" i="10"/>
  <c r="AJ8" i="10"/>
  <c r="AJ9" i="10"/>
  <c r="AJ10" i="10"/>
  <c r="AJ11" i="10"/>
  <c r="AJ12" i="10"/>
  <c r="AJ13" i="10"/>
  <c r="AJ14" i="10"/>
  <c r="AN14" i="10" s="1"/>
  <c r="AJ15" i="10"/>
  <c r="AJ3" i="10"/>
  <c r="W66" i="10"/>
  <c r="W65" i="10"/>
  <c r="U63" i="10"/>
  <c r="W63" i="10"/>
  <c r="T61" i="10"/>
  <c r="U61" i="10" s="1"/>
  <c r="S61" i="10"/>
  <c r="W61" i="10" s="1"/>
  <c r="T60" i="10"/>
  <c r="U60" i="10" s="1"/>
  <c r="S60" i="10"/>
  <c r="W60" i="10" s="1"/>
  <c r="T59" i="10"/>
  <c r="U59" i="10" s="1"/>
  <c r="S59" i="10"/>
  <c r="W59" i="10" s="1"/>
  <c r="T58" i="10"/>
  <c r="U58" i="10" s="1"/>
  <c r="S58" i="10"/>
  <c r="W58" i="10" s="1"/>
  <c r="W57" i="10"/>
  <c r="U57" i="10"/>
  <c r="T57" i="10"/>
  <c r="S57" i="10"/>
  <c r="T56" i="10"/>
  <c r="U56" i="10" s="1"/>
  <c r="S56" i="10"/>
  <c r="W56" i="10" s="1"/>
  <c r="T55" i="10"/>
  <c r="U55" i="10" s="1"/>
  <c r="S55" i="10"/>
  <c r="W55" i="10" s="1"/>
  <c r="T54" i="10"/>
  <c r="U54" i="10" s="1"/>
  <c r="S54" i="10"/>
  <c r="W54" i="10" s="1"/>
  <c r="T53" i="10"/>
  <c r="U53" i="10" s="1"/>
  <c r="S53" i="10"/>
  <c r="W53" i="10" s="1"/>
  <c r="W52" i="10"/>
  <c r="U52" i="10"/>
  <c r="T52" i="10"/>
  <c r="S52" i="10"/>
  <c r="W48" i="10"/>
  <c r="W47" i="10"/>
  <c r="U45" i="10"/>
  <c r="W45" i="10"/>
  <c r="T43" i="10"/>
  <c r="U43" i="10" s="1"/>
  <c r="S43" i="10"/>
  <c r="W43" i="10" s="1"/>
  <c r="T42" i="10"/>
  <c r="U42" i="10" s="1"/>
  <c r="S42" i="10"/>
  <c r="W42" i="10" s="1"/>
  <c r="W41" i="10"/>
  <c r="U41" i="10"/>
  <c r="T41" i="10"/>
  <c r="S41" i="10"/>
  <c r="T40" i="10"/>
  <c r="U40" i="10" s="1"/>
  <c r="S40" i="10"/>
  <c r="W40" i="10" s="1"/>
  <c r="T39" i="10"/>
  <c r="U39" i="10" s="1"/>
  <c r="S39" i="10"/>
  <c r="W39" i="10" s="1"/>
  <c r="W38" i="10"/>
  <c r="U38" i="10"/>
  <c r="T38" i="10"/>
  <c r="S38" i="10"/>
  <c r="T37" i="10"/>
  <c r="U37" i="10" s="1"/>
  <c r="S37" i="10"/>
  <c r="W37" i="10" s="1"/>
  <c r="T36" i="10"/>
  <c r="U36" i="10" s="1"/>
  <c r="S36" i="10"/>
  <c r="W36" i="10" s="1"/>
  <c r="T35" i="10"/>
  <c r="U35" i="10" s="1"/>
  <c r="S35" i="10"/>
  <c r="W35" i="10" s="1"/>
  <c r="T34" i="10"/>
  <c r="U34" i="10" s="1"/>
  <c r="S34" i="10"/>
  <c r="W34" i="10" s="1"/>
  <c r="W33" i="10"/>
  <c r="U33" i="10"/>
  <c r="T33" i="10"/>
  <c r="S33" i="10"/>
  <c r="T32" i="10"/>
  <c r="U32" i="10" s="1"/>
  <c r="S32" i="10"/>
  <c r="W32" i="10" s="1"/>
  <c r="W27" i="10"/>
  <c r="W26" i="10"/>
  <c r="U24" i="10"/>
  <c r="W24" i="10"/>
  <c r="W21" i="10"/>
  <c r="W22" i="10"/>
  <c r="W20" i="10"/>
  <c r="U21" i="10"/>
  <c r="U22" i="10"/>
  <c r="U20" i="10"/>
  <c r="T21" i="10"/>
  <c r="T22" i="10"/>
  <c r="T20" i="10"/>
  <c r="S21" i="10"/>
  <c r="S22" i="10"/>
  <c r="S20" i="10"/>
  <c r="W16" i="10"/>
  <c r="W15" i="10"/>
  <c r="U13" i="10"/>
  <c r="W13" i="10"/>
  <c r="W4" i="10"/>
  <c r="W5" i="10"/>
  <c r="W6" i="10"/>
  <c r="W7" i="10"/>
  <c r="W8" i="10"/>
  <c r="W9" i="10"/>
  <c r="W10" i="10"/>
  <c r="W11" i="10"/>
  <c r="W3" i="10"/>
  <c r="U4" i="10"/>
  <c r="U5" i="10"/>
  <c r="U6" i="10"/>
  <c r="U7" i="10"/>
  <c r="U8" i="10"/>
  <c r="U9" i="10"/>
  <c r="U10" i="10"/>
  <c r="U11" i="10"/>
  <c r="U3" i="10"/>
  <c r="T4" i="10"/>
  <c r="T5" i="10"/>
  <c r="T6" i="10"/>
  <c r="T7" i="10"/>
  <c r="T8" i="10"/>
  <c r="T9" i="10"/>
  <c r="T10" i="10"/>
  <c r="T11" i="10"/>
  <c r="T3" i="10"/>
  <c r="S4" i="10"/>
  <c r="S5" i="10"/>
  <c r="S6" i="10"/>
  <c r="S7" i="10"/>
  <c r="S8" i="10"/>
  <c r="S9" i="10"/>
  <c r="S10" i="10"/>
  <c r="S11" i="10"/>
  <c r="S3" i="10"/>
  <c r="W32" i="9"/>
  <c r="W31" i="9"/>
  <c r="U29" i="9"/>
  <c r="W29" i="9"/>
  <c r="O62" i="12" l="1"/>
  <c r="O64" i="12" s="1"/>
  <c r="AE45" i="12"/>
  <c r="AG48" i="12" s="1"/>
  <c r="M62" i="12"/>
  <c r="O65" i="12" s="1"/>
  <c r="AN85" i="10"/>
  <c r="AN86" i="10"/>
  <c r="AN60" i="10"/>
  <c r="AN61" i="10"/>
  <c r="BI92" i="9"/>
  <c r="BI91" i="9"/>
  <c r="BI90" i="9"/>
  <c r="BF89" i="9"/>
  <c r="BG89" i="9" s="1"/>
  <c r="BE89" i="9"/>
  <c r="BI89" i="9" s="1"/>
  <c r="BF88" i="9"/>
  <c r="BG88" i="9" s="1"/>
  <c r="BE88" i="9"/>
  <c r="BI88" i="9" s="1"/>
  <c r="BF87" i="9"/>
  <c r="BG87" i="9" s="1"/>
  <c r="BE87" i="9"/>
  <c r="BI87" i="9" s="1"/>
  <c r="BF86" i="9"/>
  <c r="BG86" i="9" s="1"/>
  <c r="BE86" i="9"/>
  <c r="BI86" i="9" s="1"/>
  <c r="BF85" i="9"/>
  <c r="BG85" i="9" s="1"/>
  <c r="BE85" i="9"/>
  <c r="BI85" i="9" s="1"/>
  <c r="BF84" i="9"/>
  <c r="BG84" i="9" s="1"/>
  <c r="BE84" i="9"/>
  <c r="BI84" i="9" s="1"/>
  <c r="BF83" i="9"/>
  <c r="BG83" i="9" s="1"/>
  <c r="BE83" i="9"/>
  <c r="BI83" i="9" s="1"/>
  <c r="BF82" i="9"/>
  <c r="BG82" i="9" s="1"/>
  <c r="BE82" i="9"/>
  <c r="BI82" i="9" s="1"/>
  <c r="BF81" i="9"/>
  <c r="BG81" i="9" s="1"/>
  <c r="BE81" i="9"/>
  <c r="BI81" i="9" s="1"/>
  <c r="BF80" i="9"/>
  <c r="BG80" i="9" s="1"/>
  <c r="BE80" i="9"/>
  <c r="BI80" i="9" s="1"/>
  <c r="BF79" i="9"/>
  <c r="BG79" i="9" s="1"/>
  <c r="BE79" i="9"/>
  <c r="BI79" i="9" s="1"/>
  <c r="BF78" i="9"/>
  <c r="BG78" i="9" s="1"/>
  <c r="BE78" i="9"/>
  <c r="BI78" i="9" s="1"/>
  <c r="BF77" i="9"/>
  <c r="BG77" i="9" s="1"/>
  <c r="BE77" i="9"/>
  <c r="BI77" i="9" s="1"/>
  <c r="BF76" i="9"/>
  <c r="BG76" i="9" s="1"/>
  <c r="BE76" i="9"/>
  <c r="BI76" i="9" s="1"/>
  <c r="BF75" i="9"/>
  <c r="BG75" i="9" s="1"/>
  <c r="BE75" i="9"/>
  <c r="BI75" i="9" s="1"/>
  <c r="BI65" i="9"/>
  <c r="BI64" i="9"/>
  <c r="BF63" i="9"/>
  <c r="BG63" i="9" s="1"/>
  <c r="BE63" i="9"/>
  <c r="BI63" i="9" s="1"/>
  <c r="BF62" i="9"/>
  <c r="BG62" i="9" s="1"/>
  <c r="BE62" i="9"/>
  <c r="BI62" i="9" s="1"/>
  <c r="BF61" i="9"/>
  <c r="BG61" i="9" s="1"/>
  <c r="BE61" i="9"/>
  <c r="BI61" i="9" s="1"/>
  <c r="BI60" i="9"/>
  <c r="BF59" i="9"/>
  <c r="BG59" i="9" s="1"/>
  <c r="BE59" i="9"/>
  <c r="BI59" i="9" s="1"/>
  <c r="BF58" i="9"/>
  <c r="BG58" i="9" s="1"/>
  <c r="BE58" i="9"/>
  <c r="BI58" i="9" s="1"/>
  <c r="BF57" i="9"/>
  <c r="BG57" i="9" s="1"/>
  <c r="BE57" i="9"/>
  <c r="BI57" i="9" s="1"/>
  <c r="BF56" i="9"/>
  <c r="BG56" i="9" s="1"/>
  <c r="BE56" i="9"/>
  <c r="BI56" i="9" s="1"/>
  <c r="BF55" i="9"/>
  <c r="BG55" i="9" s="1"/>
  <c r="BE55" i="9"/>
  <c r="BI55" i="9" s="1"/>
  <c r="BF54" i="9"/>
  <c r="BG54" i="9" s="1"/>
  <c r="BE54" i="9"/>
  <c r="BI54" i="9" s="1"/>
  <c r="BF53" i="9"/>
  <c r="BG53" i="9" s="1"/>
  <c r="BE53" i="9"/>
  <c r="BI53" i="9" s="1"/>
  <c r="BF52" i="9"/>
  <c r="BG52" i="9" s="1"/>
  <c r="BE52" i="9"/>
  <c r="BI52" i="9" s="1"/>
  <c r="BF51" i="9"/>
  <c r="BG51" i="9" s="1"/>
  <c r="BE51" i="9"/>
  <c r="BI51" i="9" s="1"/>
  <c r="BF50" i="9"/>
  <c r="BG50" i="9" s="1"/>
  <c r="BE50" i="9"/>
  <c r="BI50" i="9" s="1"/>
  <c r="BF49" i="9"/>
  <c r="BG49" i="9" s="1"/>
  <c r="BE49" i="9"/>
  <c r="BI49" i="9" s="1"/>
  <c r="BF48" i="9"/>
  <c r="BG48" i="9" s="1"/>
  <c r="BE48" i="9"/>
  <c r="BI48" i="9" s="1"/>
  <c r="BF47" i="9"/>
  <c r="BG47" i="9" s="1"/>
  <c r="BE47" i="9"/>
  <c r="BI47" i="9" s="1"/>
  <c r="BF46" i="9"/>
  <c r="BG46" i="9" s="1"/>
  <c r="BE46" i="9"/>
  <c r="BI46" i="9" s="1"/>
  <c r="BF45" i="9"/>
  <c r="BG45" i="9" s="1"/>
  <c r="BE45" i="9"/>
  <c r="BI45" i="9" s="1"/>
  <c r="BF44" i="9"/>
  <c r="BG44" i="9" s="1"/>
  <c r="BE44" i="9"/>
  <c r="BI44" i="9" s="1"/>
  <c r="BI30" i="9"/>
  <c r="BI32" i="9"/>
  <c r="BI33" i="9"/>
  <c r="BI28" i="9"/>
  <c r="BF31" i="9"/>
  <c r="BG31" i="9" s="1"/>
  <c r="BE31" i="9"/>
  <c r="BI31" i="9" s="1"/>
  <c r="BF30" i="9"/>
  <c r="BG30" i="9" s="1"/>
  <c r="BE30" i="9"/>
  <c r="BF29" i="9"/>
  <c r="BG29" i="9" s="1"/>
  <c r="BE29" i="9"/>
  <c r="BI29" i="9" s="1"/>
  <c r="BF4" i="9"/>
  <c r="BG4" i="9" s="1"/>
  <c r="BF5" i="9"/>
  <c r="BG5" i="9" s="1"/>
  <c r="BF6" i="9"/>
  <c r="BG6" i="9" s="1"/>
  <c r="BF7" i="9"/>
  <c r="BG7" i="9" s="1"/>
  <c r="BF8" i="9"/>
  <c r="BG8" i="9" s="1"/>
  <c r="BF9" i="9"/>
  <c r="BG9" i="9" s="1"/>
  <c r="BF10" i="9"/>
  <c r="BG10" i="9" s="1"/>
  <c r="BF11" i="9"/>
  <c r="BG11" i="9" s="1"/>
  <c r="BF12" i="9"/>
  <c r="BG12" i="9" s="1"/>
  <c r="BF13" i="9"/>
  <c r="BG13" i="9" s="1"/>
  <c r="BF14" i="9"/>
  <c r="BG14" i="9" s="1"/>
  <c r="BF15" i="9"/>
  <c r="BG15" i="9" s="1"/>
  <c r="BF16" i="9"/>
  <c r="BG16" i="9" s="1"/>
  <c r="BF17" i="9"/>
  <c r="BG17" i="9" s="1"/>
  <c r="BF18" i="9"/>
  <c r="BG18" i="9" s="1"/>
  <c r="BF3" i="9"/>
  <c r="BG3" i="9" s="1"/>
  <c r="BE4" i="9"/>
  <c r="BI4" i="9" s="1"/>
  <c r="BE5" i="9"/>
  <c r="BI5" i="9" s="1"/>
  <c r="BE6" i="9"/>
  <c r="BI6" i="9" s="1"/>
  <c r="BE7" i="9"/>
  <c r="BI7" i="9" s="1"/>
  <c r="BE8" i="9"/>
  <c r="BI8" i="9" s="1"/>
  <c r="BE9" i="9"/>
  <c r="BI9" i="9" s="1"/>
  <c r="BE10" i="9"/>
  <c r="BI10" i="9" s="1"/>
  <c r="BE11" i="9"/>
  <c r="BI11" i="9" s="1"/>
  <c r="BE12" i="9"/>
  <c r="BI12" i="9" s="1"/>
  <c r="BE13" i="9"/>
  <c r="BI13" i="9" s="1"/>
  <c r="BE14" i="9"/>
  <c r="BI14" i="9" s="1"/>
  <c r="BE15" i="9"/>
  <c r="BI15" i="9" s="1"/>
  <c r="BE16" i="9"/>
  <c r="BI16" i="9" s="1"/>
  <c r="BE17" i="9"/>
  <c r="BI17" i="9" s="1"/>
  <c r="BE18" i="9"/>
  <c r="BI18" i="9" s="1"/>
  <c r="BE3" i="9"/>
  <c r="BI3" i="9" s="1"/>
  <c r="AK91" i="9"/>
  <c r="AL91" i="9" s="1"/>
  <c r="AJ91" i="9"/>
  <c r="AN91" i="9" s="1"/>
  <c r="AK90" i="9"/>
  <c r="AL90" i="9" s="1"/>
  <c r="AJ90" i="9"/>
  <c r="AN90" i="9" s="1"/>
  <c r="AK89" i="9"/>
  <c r="AL89" i="9" s="1"/>
  <c r="AJ89" i="9"/>
  <c r="AN89" i="9" s="1"/>
  <c r="AK88" i="9"/>
  <c r="AL88" i="9" s="1"/>
  <c r="AJ88" i="9"/>
  <c r="AN88" i="9" s="1"/>
  <c r="AK87" i="9"/>
  <c r="AL87" i="9" s="1"/>
  <c r="AJ87" i="9"/>
  <c r="AN87" i="9" s="1"/>
  <c r="AK86" i="9"/>
  <c r="AL86" i="9" s="1"/>
  <c r="AJ86" i="9"/>
  <c r="AN86" i="9" s="1"/>
  <c r="AK85" i="9"/>
  <c r="AL85" i="9" s="1"/>
  <c r="AJ85" i="9"/>
  <c r="AN85" i="9" s="1"/>
  <c r="AK84" i="9"/>
  <c r="AL84" i="9" s="1"/>
  <c r="AJ84" i="9"/>
  <c r="AN84" i="9" s="1"/>
  <c r="AK83" i="9"/>
  <c r="AL83" i="9" s="1"/>
  <c r="AJ83" i="9"/>
  <c r="AN83" i="9" s="1"/>
  <c r="AK82" i="9"/>
  <c r="AL82" i="9" s="1"/>
  <c r="AJ82" i="9"/>
  <c r="AN82" i="9" s="1"/>
  <c r="AK81" i="9"/>
  <c r="AL81" i="9" s="1"/>
  <c r="AJ81" i="9"/>
  <c r="AN81" i="9" s="1"/>
  <c r="AK80" i="9"/>
  <c r="AL80" i="9" s="1"/>
  <c r="AJ80" i="9"/>
  <c r="AN80" i="9" s="1"/>
  <c r="AK79" i="9"/>
  <c r="AL79" i="9" s="1"/>
  <c r="AJ79" i="9"/>
  <c r="AN79" i="9" s="1"/>
  <c r="AK78" i="9"/>
  <c r="AL78" i="9" s="1"/>
  <c r="AJ78" i="9"/>
  <c r="AN78" i="9" s="1"/>
  <c r="AK77" i="9"/>
  <c r="AL77" i="9" s="1"/>
  <c r="AJ77" i="9"/>
  <c r="AN77" i="9" s="1"/>
  <c r="AK76" i="9"/>
  <c r="AL76" i="9" s="1"/>
  <c r="AJ76" i="9"/>
  <c r="AN76" i="9" s="1"/>
  <c r="AK75" i="9"/>
  <c r="AL75" i="9" s="1"/>
  <c r="AJ75" i="9"/>
  <c r="AN75" i="9" s="1"/>
  <c r="AK74" i="9"/>
  <c r="AL74" i="9" s="1"/>
  <c r="AJ74" i="9"/>
  <c r="AN74" i="9" s="1"/>
  <c r="AK63" i="9"/>
  <c r="AL63" i="9" s="1"/>
  <c r="AJ63" i="9"/>
  <c r="AN63" i="9" s="1"/>
  <c r="AK62" i="9"/>
  <c r="AL62" i="9" s="1"/>
  <c r="AJ62" i="9"/>
  <c r="AN62" i="9" s="1"/>
  <c r="AK61" i="9"/>
  <c r="AL61" i="9" s="1"/>
  <c r="AJ61" i="9"/>
  <c r="AN61" i="9" s="1"/>
  <c r="AK60" i="9"/>
  <c r="AL60" i="9" s="1"/>
  <c r="AJ60" i="9"/>
  <c r="AN60" i="9" s="1"/>
  <c r="AK59" i="9"/>
  <c r="AL59" i="9" s="1"/>
  <c r="AJ59" i="9"/>
  <c r="AN59" i="9" s="1"/>
  <c r="AK58" i="9"/>
  <c r="AL58" i="9" s="1"/>
  <c r="AJ58" i="9"/>
  <c r="AN58" i="9" s="1"/>
  <c r="AK57" i="9"/>
  <c r="AL57" i="9" s="1"/>
  <c r="AJ57" i="9"/>
  <c r="AN57" i="9" s="1"/>
  <c r="AK56" i="9"/>
  <c r="AL56" i="9" s="1"/>
  <c r="AJ56" i="9"/>
  <c r="AN56" i="9" s="1"/>
  <c r="AK55" i="9"/>
  <c r="AL55" i="9" s="1"/>
  <c r="AJ55" i="9"/>
  <c r="AN55" i="9" s="1"/>
  <c r="AK54" i="9"/>
  <c r="AL54" i="9" s="1"/>
  <c r="AJ54" i="9"/>
  <c r="AN54" i="9" s="1"/>
  <c r="AK53" i="9"/>
  <c r="AL53" i="9" s="1"/>
  <c r="AJ53" i="9"/>
  <c r="AN53" i="9" s="1"/>
  <c r="AK52" i="9"/>
  <c r="AL52" i="9" s="1"/>
  <c r="AJ52" i="9"/>
  <c r="AN52" i="9" s="1"/>
  <c r="AK51" i="9"/>
  <c r="AL51" i="9" s="1"/>
  <c r="AJ51" i="9"/>
  <c r="AN51" i="9" s="1"/>
  <c r="AK50" i="9"/>
  <c r="AL50" i="9" s="1"/>
  <c r="AJ50" i="9"/>
  <c r="AN50" i="9" s="1"/>
  <c r="AK49" i="9"/>
  <c r="AL49" i="9" s="1"/>
  <c r="AJ49" i="9"/>
  <c r="AN49" i="9" s="1"/>
  <c r="AK48" i="9"/>
  <c r="AL48" i="9" s="1"/>
  <c r="AJ48" i="9"/>
  <c r="AN48" i="9" s="1"/>
  <c r="AK47" i="9"/>
  <c r="AL47" i="9" s="1"/>
  <c r="AJ47" i="9"/>
  <c r="AN47" i="9" s="1"/>
  <c r="AK46" i="9"/>
  <c r="AL46" i="9" s="1"/>
  <c r="AJ46" i="9"/>
  <c r="AN46" i="9" s="1"/>
  <c r="AK45" i="9"/>
  <c r="AL45" i="9" s="1"/>
  <c r="AJ45" i="9"/>
  <c r="AN45" i="9" s="1"/>
  <c r="AK44" i="9"/>
  <c r="AL44" i="9" s="1"/>
  <c r="AJ44" i="9"/>
  <c r="AN44" i="9" s="1"/>
  <c r="AK43" i="9"/>
  <c r="AL43" i="9" s="1"/>
  <c r="AJ43" i="9"/>
  <c r="AN43" i="9" s="1"/>
  <c r="AK42" i="9"/>
  <c r="AL42" i="9" s="1"/>
  <c r="AJ42" i="9"/>
  <c r="AN42" i="9" s="1"/>
  <c r="AK29" i="9"/>
  <c r="AL29" i="9" s="1"/>
  <c r="AK30" i="9"/>
  <c r="AL30" i="9" s="1"/>
  <c r="AK31" i="9"/>
  <c r="AL31" i="9" s="1"/>
  <c r="AK32" i="9"/>
  <c r="AL32" i="9" s="1"/>
  <c r="AK33" i="9"/>
  <c r="AL33" i="9" s="1"/>
  <c r="AK28" i="9"/>
  <c r="AL28" i="9" s="1"/>
  <c r="AJ29" i="9"/>
  <c r="AN29" i="9" s="1"/>
  <c r="AJ30" i="9"/>
  <c r="AN30" i="9" s="1"/>
  <c r="AJ31" i="9"/>
  <c r="AN31" i="9" s="1"/>
  <c r="AJ32" i="9"/>
  <c r="AN32" i="9" s="1"/>
  <c r="AJ33" i="9"/>
  <c r="AN33" i="9" s="1"/>
  <c r="AJ28" i="9"/>
  <c r="AN28" i="9" s="1"/>
  <c r="AL16" i="9"/>
  <c r="AK4" i="9"/>
  <c r="AL4" i="9" s="1"/>
  <c r="AK5" i="9"/>
  <c r="AL5" i="9" s="1"/>
  <c r="AK6" i="9"/>
  <c r="AL6" i="9" s="1"/>
  <c r="AK7" i="9"/>
  <c r="AL7" i="9" s="1"/>
  <c r="AK8" i="9"/>
  <c r="AL8" i="9" s="1"/>
  <c r="AK9" i="9"/>
  <c r="AL9" i="9" s="1"/>
  <c r="AK10" i="9"/>
  <c r="AL10" i="9" s="1"/>
  <c r="AK11" i="9"/>
  <c r="AL11" i="9" s="1"/>
  <c r="AK12" i="9"/>
  <c r="AL12" i="9" s="1"/>
  <c r="AK13" i="9"/>
  <c r="AL13" i="9" s="1"/>
  <c r="AK14" i="9"/>
  <c r="AL14" i="9" s="1"/>
  <c r="AK15" i="9"/>
  <c r="AL15" i="9" s="1"/>
  <c r="AK16" i="9"/>
  <c r="AK17" i="9"/>
  <c r="AL17" i="9" s="1"/>
  <c r="AK18" i="9"/>
  <c r="AL18" i="9" s="1"/>
  <c r="AK3" i="9"/>
  <c r="AL3" i="9" s="1"/>
  <c r="AJ4" i="9"/>
  <c r="AN4" i="9" s="1"/>
  <c r="AJ5" i="9"/>
  <c r="AN5" i="9" s="1"/>
  <c r="AJ6" i="9"/>
  <c r="AN6" i="9" s="1"/>
  <c r="AJ7" i="9"/>
  <c r="AN7" i="9" s="1"/>
  <c r="AJ8" i="9"/>
  <c r="AN8" i="9" s="1"/>
  <c r="AJ9" i="9"/>
  <c r="AN9" i="9" s="1"/>
  <c r="AJ10" i="9"/>
  <c r="AN10" i="9" s="1"/>
  <c r="AJ11" i="9"/>
  <c r="AN11" i="9" s="1"/>
  <c r="AJ12" i="9"/>
  <c r="AN12" i="9" s="1"/>
  <c r="AJ13" i="9"/>
  <c r="AN13" i="9" s="1"/>
  <c r="AJ14" i="9"/>
  <c r="AN14" i="9" s="1"/>
  <c r="AJ15" i="9"/>
  <c r="AN15" i="9" s="1"/>
  <c r="AJ16" i="9"/>
  <c r="AN16" i="9" s="1"/>
  <c r="AJ17" i="9"/>
  <c r="AN17" i="9" s="1"/>
  <c r="AJ18" i="9"/>
  <c r="AN18" i="9" s="1"/>
  <c r="AJ3" i="9"/>
  <c r="AN3" i="9" s="1"/>
  <c r="U79" i="9"/>
  <c r="W82" i="9" s="1"/>
  <c r="W77" i="9"/>
  <c r="W76" i="9"/>
  <c r="W75" i="9"/>
  <c r="W74" i="9"/>
  <c r="W73" i="9"/>
  <c r="W72" i="9"/>
  <c r="W71" i="9"/>
  <c r="W70" i="9"/>
  <c r="W69" i="9"/>
  <c r="W68" i="9"/>
  <c r="W67" i="9"/>
  <c r="W66" i="9"/>
  <c r="W65" i="9"/>
  <c r="W64" i="9"/>
  <c r="U57" i="9"/>
  <c r="W60" i="9" s="1"/>
  <c r="W55" i="9"/>
  <c r="W54" i="9"/>
  <c r="W53" i="9"/>
  <c r="W52" i="9"/>
  <c r="W51" i="9"/>
  <c r="W50" i="9"/>
  <c r="W49" i="9"/>
  <c r="W48" i="9"/>
  <c r="W47" i="9"/>
  <c r="W46" i="9"/>
  <c r="W45" i="9"/>
  <c r="W44" i="9"/>
  <c r="W43" i="9"/>
  <c r="W42" i="9"/>
  <c r="W41" i="9"/>
  <c r="W40" i="9"/>
  <c r="U15" i="9"/>
  <c r="W18" i="9" s="1"/>
  <c r="W23" i="9"/>
  <c r="W24" i="9"/>
  <c r="W25" i="9"/>
  <c r="W26" i="9"/>
  <c r="W27" i="9"/>
  <c r="W4" i="9"/>
  <c r="W5" i="9"/>
  <c r="W6" i="9"/>
  <c r="W7" i="9"/>
  <c r="W8" i="9"/>
  <c r="W9" i="9"/>
  <c r="W10" i="9"/>
  <c r="W11" i="9"/>
  <c r="W12" i="9"/>
  <c r="W13" i="9"/>
  <c r="W3" i="9"/>
  <c r="K60" i="8"/>
  <c r="L60" i="8" s="1"/>
  <c r="J60" i="8"/>
  <c r="N60" i="8" s="1"/>
  <c r="K59" i="8"/>
  <c r="L59" i="8" s="1"/>
  <c r="J59" i="8"/>
  <c r="N59" i="8" s="1"/>
  <c r="K58" i="8"/>
  <c r="L58" i="8" s="1"/>
  <c r="J58" i="8"/>
  <c r="N58" i="8" s="1"/>
  <c r="K57" i="8"/>
  <c r="L57" i="8" s="1"/>
  <c r="J57" i="8"/>
  <c r="N57" i="8" s="1"/>
  <c r="K56" i="8"/>
  <c r="L56" i="8" s="1"/>
  <c r="J56" i="8"/>
  <c r="N56" i="8" s="1"/>
  <c r="K55" i="8"/>
  <c r="L55" i="8" s="1"/>
  <c r="J55" i="8"/>
  <c r="N55" i="8" s="1"/>
  <c r="K54" i="8"/>
  <c r="L54" i="8" s="1"/>
  <c r="J54" i="8"/>
  <c r="N54" i="8" s="1"/>
  <c r="N53" i="8"/>
  <c r="K53" i="8"/>
  <c r="L53" i="8" s="1"/>
  <c r="J53" i="8"/>
  <c r="K52" i="8"/>
  <c r="L52" i="8" s="1"/>
  <c r="J52" i="8"/>
  <c r="N52" i="8" s="1"/>
  <c r="N51" i="8"/>
  <c r="K51" i="8"/>
  <c r="L51" i="8" s="1"/>
  <c r="J51" i="8"/>
  <c r="K50" i="8"/>
  <c r="L50" i="8" s="1"/>
  <c r="J50" i="8"/>
  <c r="N50" i="8" s="1"/>
  <c r="N49" i="8"/>
  <c r="K49" i="8"/>
  <c r="L49" i="8" s="1"/>
  <c r="J49" i="8"/>
  <c r="N48" i="8"/>
  <c r="L48" i="8"/>
  <c r="K48" i="8"/>
  <c r="J48" i="8"/>
  <c r="K47" i="8"/>
  <c r="L47" i="8" s="1"/>
  <c r="J47" i="8"/>
  <c r="N47" i="8" s="1"/>
  <c r="N46" i="8"/>
  <c r="K46" i="8"/>
  <c r="L46" i="8" s="1"/>
  <c r="J46" i="8"/>
  <c r="K45" i="8"/>
  <c r="L45" i="8" s="1"/>
  <c r="J45" i="8"/>
  <c r="N45" i="8" s="1"/>
  <c r="N44" i="8"/>
  <c r="K44" i="8"/>
  <c r="L44" i="8" s="1"/>
  <c r="J44" i="8"/>
  <c r="L43" i="8"/>
  <c r="K43" i="8"/>
  <c r="J43" i="8"/>
  <c r="N43" i="8" s="1"/>
  <c r="K42" i="8"/>
  <c r="L42" i="8" s="1"/>
  <c r="J42" i="8"/>
  <c r="N42" i="8" s="1"/>
  <c r="K41" i="8"/>
  <c r="L41" i="8" s="1"/>
  <c r="J41" i="8"/>
  <c r="N41" i="8" s="1"/>
  <c r="K40" i="8"/>
  <c r="L40" i="8" s="1"/>
  <c r="J40" i="8"/>
  <c r="N40" i="8" s="1"/>
  <c r="L39" i="8"/>
  <c r="K39" i="8"/>
  <c r="J39" i="8"/>
  <c r="N39" i="8" s="1"/>
  <c r="K38" i="8"/>
  <c r="L38" i="8" s="1"/>
  <c r="J38" i="8"/>
  <c r="N38" i="8" s="1"/>
  <c r="N37" i="8"/>
  <c r="K37" i="8"/>
  <c r="L37" i="8" s="1"/>
  <c r="J37" i="8"/>
  <c r="K36" i="8"/>
  <c r="L36" i="8" s="1"/>
  <c r="J36" i="8"/>
  <c r="N36" i="8" s="1"/>
  <c r="K35" i="8"/>
  <c r="L35" i="8" s="1"/>
  <c r="J35" i="8"/>
  <c r="N35" i="8" s="1"/>
  <c r="L34" i="8"/>
  <c r="K34" i="8"/>
  <c r="J34" i="8"/>
  <c r="N34" i="8" s="1"/>
  <c r="K33" i="8"/>
  <c r="L33" i="8" s="1"/>
  <c r="J33" i="8"/>
  <c r="N33" i="8" s="1"/>
  <c r="K32" i="8"/>
  <c r="L32" i="8" s="1"/>
  <c r="J32" i="8"/>
  <c r="N32" i="8" s="1"/>
  <c r="K31" i="8"/>
  <c r="L31" i="8" s="1"/>
  <c r="J31" i="8"/>
  <c r="N31" i="8" s="1"/>
  <c r="K30" i="8"/>
  <c r="L30" i="8" s="1"/>
  <c r="J30" i="8"/>
  <c r="N30" i="8" s="1"/>
  <c r="N29" i="8"/>
  <c r="L29" i="8"/>
  <c r="K29" i="8"/>
  <c r="J29" i="8"/>
  <c r="K28" i="8"/>
  <c r="L28" i="8" s="1"/>
  <c r="J28" i="8"/>
  <c r="N28" i="8" s="1"/>
  <c r="K27" i="8"/>
  <c r="L27" i="8" s="1"/>
  <c r="J27" i="8"/>
  <c r="N27" i="8" s="1"/>
  <c r="K26" i="8"/>
  <c r="L26" i="8" s="1"/>
  <c r="J26" i="8"/>
  <c r="N26" i="8" s="1"/>
  <c r="K25" i="8"/>
  <c r="L25" i="8" s="1"/>
  <c r="J25" i="8"/>
  <c r="N25" i="8" s="1"/>
  <c r="K24" i="8"/>
  <c r="L24" i="8" s="1"/>
  <c r="J24" i="8"/>
  <c r="N24" i="8" s="1"/>
  <c r="K23" i="8"/>
  <c r="L23" i="8" s="1"/>
  <c r="J23" i="8"/>
  <c r="N23" i="8" s="1"/>
  <c r="L22" i="8"/>
  <c r="K22" i="8"/>
  <c r="J22" i="8"/>
  <c r="N22" i="8" s="1"/>
  <c r="K21" i="8"/>
  <c r="L21" i="8" s="1"/>
  <c r="J21" i="8"/>
  <c r="N21" i="8" s="1"/>
  <c r="K20" i="8"/>
  <c r="L20" i="8" s="1"/>
  <c r="J20" i="8"/>
  <c r="N20" i="8" s="1"/>
  <c r="K19" i="8"/>
  <c r="L19" i="8" s="1"/>
  <c r="J19" i="8"/>
  <c r="N19" i="8" s="1"/>
  <c r="K18" i="8"/>
  <c r="L18" i="8" s="1"/>
  <c r="J18" i="8"/>
  <c r="N18" i="8" s="1"/>
  <c r="L17" i="8"/>
  <c r="K17" i="8"/>
  <c r="J17" i="8"/>
  <c r="N17" i="8" s="1"/>
  <c r="K16" i="8"/>
  <c r="L16" i="8" s="1"/>
  <c r="J16" i="8"/>
  <c r="N16" i="8" s="1"/>
  <c r="K15" i="8"/>
  <c r="L15" i="8" s="1"/>
  <c r="J15" i="8"/>
  <c r="N15" i="8" s="1"/>
  <c r="K14" i="8"/>
  <c r="L14" i="8" s="1"/>
  <c r="J14" i="8"/>
  <c r="N14" i="8" s="1"/>
  <c r="K13" i="8"/>
  <c r="L13" i="8" s="1"/>
  <c r="J13" i="8"/>
  <c r="N13" i="8" s="1"/>
  <c r="N12" i="8"/>
  <c r="L12" i="8"/>
  <c r="K12" i="8"/>
  <c r="J12" i="8"/>
  <c r="K11" i="8"/>
  <c r="L11" i="8" s="1"/>
  <c r="J11" i="8"/>
  <c r="N11" i="8" s="1"/>
  <c r="K10" i="8"/>
  <c r="L10" i="8" s="1"/>
  <c r="J10" i="8"/>
  <c r="N10" i="8" s="1"/>
  <c r="K9" i="8"/>
  <c r="L9" i="8" s="1"/>
  <c r="J9" i="8"/>
  <c r="N9" i="8" s="1"/>
  <c r="K8" i="8"/>
  <c r="L8" i="8" s="1"/>
  <c r="J8" i="8"/>
  <c r="N8" i="8" s="1"/>
  <c r="K7" i="8"/>
  <c r="L7" i="8" s="1"/>
  <c r="J7" i="8"/>
  <c r="N7" i="8" s="1"/>
  <c r="K6" i="8"/>
  <c r="L6" i="8" s="1"/>
  <c r="J6" i="8"/>
  <c r="N6" i="8" s="1"/>
  <c r="K5" i="8"/>
  <c r="L5" i="8" s="1"/>
  <c r="J5" i="8"/>
  <c r="N5" i="8" s="1"/>
  <c r="K4" i="8"/>
  <c r="L4" i="8" s="1"/>
  <c r="J4" i="8"/>
  <c r="N4" i="8" s="1"/>
  <c r="K3" i="8"/>
  <c r="L3" i="8" s="1"/>
  <c r="J3" i="8"/>
  <c r="N3" i="8" s="1"/>
  <c r="K74" i="7"/>
  <c r="L74" i="7" s="1"/>
  <c r="J74" i="7"/>
  <c r="N74" i="7" s="1"/>
  <c r="N73" i="7"/>
  <c r="K73" i="7"/>
  <c r="L73" i="7" s="1"/>
  <c r="J73" i="7"/>
  <c r="L72" i="7"/>
  <c r="K72" i="7"/>
  <c r="J72" i="7"/>
  <c r="N72" i="7" s="1"/>
  <c r="K71" i="7"/>
  <c r="L71" i="7" s="1"/>
  <c r="J71" i="7"/>
  <c r="N71" i="7" s="1"/>
  <c r="K70" i="7"/>
  <c r="L70" i="7" s="1"/>
  <c r="J70" i="7"/>
  <c r="N70" i="7" s="1"/>
  <c r="K69" i="7"/>
  <c r="L69" i="7" s="1"/>
  <c r="J69" i="7"/>
  <c r="N69" i="7" s="1"/>
  <c r="K68" i="7"/>
  <c r="L68" i="7" s="1"/>
  <c r="J68" i="7"/>
  <c r="N68" i="7" s="1"/>
  <c r="N67" i="7"/>
  <c r="K67" i="7"/>
  <c r="L67" i="7" s="1"/>
  <c r="J67" i="7"/>
  <c r="K66" i="7"/>
  <c r="L66" i="7" s="1"/>
  <c r="J66" i="7"/>
  <c r="N66" i="7" s="1"/>
  <c r="K65" i="7"/>
  <c r="L65" i="7" s="1"/>
  <c r="J65" i="7"/>
  <c r="N65" i="7" s="1"/>
  <c r="L64" i="7"/>
  <c r="K64" i="7"/>
  <c r="J64" i="7"/>
  <c r="N64" i="7" s="1"/>
  <c r="K63" i="7"/>
  <c r="L63" i="7" s="1"/>
  <c r="J63" i="7"/>
  <c r="N63" i="7" s="1"/>
  <c r="K62" i="7"/>
  <c r="L62" i="7" s="1"/>
  <c r="J62" i="7"/>
  <c r="N62" i="7" s="1"/>
  <c r="K61" i="7"/>
  <c r="L61" i="7" s="1"/>
  <c r="J61" i="7"/>
  <c r="N61" i="7" s="1"/>
  <c r="K60" i="7"/>
  <c r="L60" i="7" s="1"/>
  <c r="J60" i="7"/>
  <c r="N60" i="7" s="1"/>
  <c r="N59" i="7"/>
  <c r="K59" i="7"/>
  <c r="L59" i="7" s="1"/>
  <c r="J59" i="7"/>
  <c r="K58" i="7"/>
  <c r="L58" i="7" s="1"/>
  <c r="J58" i="7"/>
  <c r="N58" i="7" s="1"/>
  <c r="K57" i="7"/>
  <c r="L57" i="7" s="1"/>
  <c r="J57" i="7"/>
  <c r="N57" i="7" s="1"/>
  <c r="N45" i="7"/>
  <c r="N46" i="7"/>
  <c r="N47" i="7"/>
  <c r="N50" i="7"/>
  <c r="N51" i="7"/>
  <c r="N43" i="7"/>
  <c r="L46" i="7"/>
  <c r="L49" i="7"/>
  <c r="L51" i="7"/>
  <c r="K44" i="7"/>
  <c r="L44" i="7" s="1"/>
  <c r="K45" i="7"/>
  <c r="L45" i="7" s="1"/>
  <c r="K46" i="7"/>
  <c r="K47" i="7"/>
  <c r="L47" i="7" s="1"/>
  <c r="K48" i="7"/>
  <c r="L48" i="7" s="1"/>
  <c r="K49" i="7"/>
  <c r="K50" i="7"/>
  <c r="L50" i="7" s="1"/>
  <c r="K51" i="7"/>
  <c r="K43" i="7"/>
  <c r="L43" i="7" s="1"/>
  <c r="J44" i="7"/>
  <c r="N44" i="7" s="1"/>
  <c r="J45" i="7"/>
  <c r="J46" i="7"/>
  <c r="J47" i="7"/>
  <c r="J48" i="7"/>
  <c r="N48" i="7" s="1"/>
  <c r="J49" i="7"/>
  <c r="N49" i="7" s="1"/>
  <c r="J50" i="7"/>
  <c r="J51" i="7"/>
  <c r="J43" i="7"/>
  <c r="K56" i="7"/>
  <c r="L56" i="7" s="1"/>
  <c r="J56" i="7"/>
  <c r="N56" i="7" s="1"/>
  <c r="K38" i="7"/>
  <c r="L38" i="7" s="1"/>
  <c r="J38" i="7"/>
  <c r="N38" i="7" s="1"/>
  <c r="K37" i="7"/>
  <c r="L37" i="7" s="1"/>
  <c r="J37" i="7"/>
  <c r="N37" i="7" s="1"/>
  <c r="N36" i="7"/>
  <c r="K36" i="7"/>
  <c r="L36" i="7" s="1"/>
  <c r="J36" i="7"/>
  <c r="K35" i="7"/>
  <c r="L35" i="7" s="1"/>
  <c r="J35" i="7"/>
  <c r="N35" i="7" s="1"/>
  <c r="K34" i="7"/>
  <c r="L34" i="7" s="1"/>
  <c r="J34" i="7"/>
  <c r="N34" i="7" s="1"/>
  <c r="K33" i="7"/>
  <c r="L33" i="7" s="1"/>
  <c r="J33" i="7"/>
  <c r="N33" i="7" s="1"/>
  <c r="N32" i="7"/>
  <c r="K32" i="7"/>
  <c r="L32" i="7" s="1"/>
  <c r="J32" i="7"/>
  <c r="K31" i="7"/>
  <c r="L31" i="7" s="1"/>
  <c r="J31" i="7"/>
  <c r="N31" i="7" s="1"/>
  <c r="N30" i="7"/>
  <c r="K30" i="7"/>
  <c r="L30" i="7" s="1"/>
  <c r="J30" i="7"/>
  <c r="K21" i="7"/>
  <c r="L21" i="7" s="1"/>
  <c r="J21" i="7"/>
  <c r="N21" i="7" s="1"/>
  <c r="L20" i="7"/>
  <c r="K20" i="7"/>
  <c r="J20" i="7"/>
  <c r="N20" i="7" s="1"/>
  <c r="K19" i="7"/>
  <c r="L19" i="7" s="1"/>
  <c r="J19" i="7"/>
  <c r="N19" i="7" s="1"/>
  <c r="K18" i="7"/>
  <c r="L18" i="7" s="1"/>
  <c r="J18" i="7"/>
  <c r="N18" i="7" s="1"/>
  <c r="K17" i="7"/>
  <c r="L17" i="7" s="1"/>
  <c r="J17" i="7"/>
  <c r="N17" i="7" s="1"/>
  <c r="K16" i="7"/>
  <c r="L16" i="7" s="1"/>
  <c r="J16" i="7"/>
  <c r="N16" i="7" s="1"/>
  <c r="N15" i="7"/>
  <c r="L15" i="7"/>
  <c r="K15" i="7"/>
  <c r="J15" i="7"/>
  <c r="K14" i="7"/>
  <c r="L14" i="7" s="1"/>
  <c r="J14" i="7"/>
  <c r="N14" i="7" s="1"/>
  <c r="K13" i="7"/>
  <c r="L13" i="7" s="1"/>
  <c r="J13" i="7"/>
  <c r="N13" i="7" s="1"/>
  <c r="K12" i="7"/>
  <c r="L12" i="7" s="1"/>
  <c r="J12" i="7"/>
  <c r="N12" i="7" s="1"/>
  <c r="K11" i="7"/>
  <c r="L11" i="7" s="1"/>
  <c r="J11" i="7"/>
  <c r="N11" i="7" s="1"/>
  <c r="K10" i="7"/>
  <c r="L10" i="7" s="1"/>
  <c r="J10" i="7"/>
  <c r="N10" i="7" s="1"/>
  <c r="K9" i="7"/>
  <c r="L9" i="7" s="1"/>
  <c r="J9" i="7"/>
  <c r="N9" i="7" s="1"/>
  <c r="K8" i="7"/>
  <c r="L8" i="7" s="1"/>
  <c r="J8" i="7"/>
  <c r="N8" i="7" s="1"/>
  <c r="K7" i="7"/>
  <c r="L7" i="7" s="1"/>
  <c r="J7" i="7"/>
  <c r="N7" i="7" s="1"/>
  <c r="K6" i="7"/>
  <c r="L6" i="7" s="1"/>
  <c r="J6" i="7"/>
  <c r="N6" i="7" s="1"/>
  <c r="N5" i="7"/>
  <c r="K5" i="7"/>
  <c r="L5" i="7" s="1"/>
  <c r="J5" i="7"/>
  <c r="K4" i="7"/>
  <c r="L4" i="7" s="1"/>
  <c r="J4" i="7"/>
  <c r="N4" i="7" s="1"/>
  <c r="N3" i="7"/>
  <c r="K3" i="7"/>
  <c r="L3" i="7" s="1"/>
  <c r="J3" i="7"/>
  <c r="K64" i="6"/>
  <c r="L64" i="6" s="1"/>
  <c r="J64" i="6"/>
  <c r="N64" i="6" s="1"/>
  <c r="K63" i="6"/>
  <c r="L63" i="6" s="1"/>
  <c r="J63" i="6"/>
  <c r="N63" i="6" s="1"/>
  <c r="K62" i="6"/>
  <c r="L62" i="6" s="1"/>
  <c r="J62" i="6"/>
  <c r="N62" i="6" s="1"/>
  <c r="N61" i="6"/>
  <c r="L61" i="6"/>
  <c r="K61" i="6"/>
  <c r="J61" i="6"/>
  <c r="K60" i="6"/>
  <c r="L60" i="6" s="1"/>
  <c r="J60" i="6"/>
  <c r="N60" i="6" s="1"/>
  <c r="K59" i="6"/>
  <c r="L59" i="6" s="1"/>
  <c r="J59" i="6"/>
  <c r="N59" i="6" s="1"/>
  <c r="K58" i="6"/>
  <c r="L58" i="6" s="1"/>
  <c r="J58" i="6"/>
  <c r="N58" i="6" s="1"/>
  <c r="N57" i="6"/>
  <c r="K57" i="6"/>
  <c r="L57" i="6" s="1"/>
  <c r="J57" i="6"/>
  <c r="K56" i="6"/>
  <c r="L56" i="6" s="1"/>
  <c r="J56" i="6"/>
  <c r="N56" i="6" s="1"/>
  <c r="K55" i="6"/>
  <c r="L55" i="6" s="1"/>
  <c r="J55" i="6"/>
  <c r="N55" i="6" s="1"/>
  <c r="K54" i="6"/>
  <c r="L54" i="6" s="1"/>
  <c r="J54" i="6"/>
  <c r="N54" i="6" s="1"/>
  <c r="K53" i="6"/>
  <c r="L53" i="6" s="1"/>
  <c r="J53" i="6"/>
  <c r="N53" i="6" s="1"/>
  <c r="K52" i="6"/>
  <c r="L52" i="6" s="1"/>
  <c r="J52" i="6"/>
  <c r="N52" i="6" s="1"/>
  <c r="K51" i="6"/>
  <c r="L51" i="6" s="1"/>
  <c r="J51" i="6"/>
  <c r="N51" i="6" s="1"/>
  <c r="K50" i="6"/>
  <c r="L50" i="6" s="1"/>
  <c r="J50" i="6"/>
  <c r="N50" i="6" s="1"/>
  <c r="K49" i="6"/>
  <c r="L49" i="6" s="1"/>
  <c r="J49" i="6"/>
  <c r="N49" i="6" s="1"/>
  <c r="K48" i="6"/>
  <c r="L48" i="6" s="1"/>
  <c r="J48" i="6"/>
  <c r="N48" i="6" s="1"/>
  <c r="N41" i="6"/>
  <c r="L40" i="6"/>
  <c r="L41" i="6"/>
  <c r="K40" i="6"/>
  <c r="K41" i="6"/>
  <c r="K42" i="6"/>
  <c r="L42" i="6" s="1"/>
  <c r="K39" i="6"/>
  <c r="L39" i="6" s="1"/>
  <c r="J40" i="6"/>
  <c r="N40" i="6" s="1"/>
  <c r="J41" i="6"/>
  <c r="J42" i="6"/>
  <c r="N42" i="6" s="1"/>
  <c r="J39" i="6"/>
  <c r="N39" i="6" s="1"/>
  <c r="K32" i="6"/>
  <c r="L32" i="6" s="1"/>
  <c r="J32" i="6"/>
  <c r="N32" i="6" s="1"/>
  <c r="K31" i="6"/>
  <c r="L31" i="6" s="1"/>
  <c r="J31" i="6"/>
  <c r="N31" i="6" s="1"/>
  <c r="K30" i="6"/>
  <c r="L30" i="6" s="1"/>
  <c r="J30" i="6"/>
  <c r="N30" i="6" s="1"/>
  <c r="K29" i="6"/>
  <c r="L29" i="6" s="1"/>
  <c r="J29" i="6"/>
  <c r="N29" i="6" s="1"/>
  <c r="K19" i="6"/>
  <c r="L19" i="6" s="1"/>
  <c r="J19" i="6"/>
  <c r="N19" i="6" s="1"/>
  <c r="K18" i="6"/>
  <c r="L18" i="6" s="1"/>
  <c r="J18" i="6"/>
  <c r="N18" i="6" s="1"/>
  <c r="K17" i="6"/>
  <c r="L17" i="6" s="1"/>
  <c r="J17" i="6"/>
  <c r="N17" i="6" s="1"/>
  <c r="N16" i="6"/>
  <c r="K16" i="6"/>
  <c r="L16" i="6" s="1"/>
  <c r="J16" i="6"/>
  <c r="K15" i="6"/>
  <c r="L15" i="6" s="1"/>
  <c r="J15" i="6"/>
  <c r="N15" i="6" s="1"/>
  <c r="K14" i="6"/>
  <c r="L14" i="6" s="1"/>
  <c r="J14" i="6"/>
  <c r="N14" i="6" s="1"/>
  <c r="L13" i="6"/>
  <c r="K13" i="6"/>
  <c r="J13" i="6"/>
  <c r="N13" i="6" s="1"/>
  <c r="K12" i="6"/>
  <c r="L12" i="6" s="1"/>
  <c r="J12" i="6"/>
  <c r="N12" i="6" s="1"/>
  <c r="K11" i="6"/>
  <c r="L11" i="6" s="1"/>
  <c r="J11" i="6"/>
  <c r="N11" i="6" s="1"/>
  <c r="K10" i="6"/>
  <c r="L10" i="6" s="1"/>
  <c r="J10" i="6"/>
  <c r="N10" i="6" s="1"/>
  <c r="K9" i="6"/>
  <c r="L9" i="6" s="1"/>
  <c r="J9" i="6"/>
  <c r="N9" i="6" s="1"/>
  <c r="N8" i="6"/>
  <c r="L8" i="6"/>
  <c r="K8" i="6"/>
  <c r="J8" i="6"/>
  <c r="K7" i="6"/>
  <c r="L7" i="6" s="1"/>
  <c r="J7" i="6"/>
  <c r="N7" i="6" s="1"/>
  <c r="L6" i="6"/>
  <c r="K6" i="6"/>
  <c r="J6" i="6"/>
  <c r="N6" i="6" s="1"/>
  <c r="K5" i="6"/>
  <c r="L5" i="6" s="1"/>
  <c r="J5" i="6"/>
  <c r="N5" i="6" s="1"/>
  <c r="K4" i="6"/>
  <c r="L4" i="6" s="1"/>
  <c r="J4" i="6"/>
  <c r="N4" i="6" s="1"/>
  <c r="N3" i="6"/>
  <c r="L3" i="6"/>
  <c r="K3" i="6"/>
  <c r="J3" i="6"/>
  <c r="J64" i="5"/>
  <c r="N64" i="5" s="1"/>
  <c r="K73" i="5"/>
  <c r="L73" i="5" s="1"/>
  <c r="J73" i="5"/>
  <c r="N73" i="5" s="1"/>
  <c r="K72" i="5"/>
  <c r="L72" i="5" s="1"/>
  <c r="J72" i="5"/>
  <c r="N72" i="5" s="1"/>
  <c r="K71" i="5"/>
  <c r="L71" i="5" s="1"/>
  <c r="J71" i="5"/>
  <c r="N71" i="5" s="1"/>
  <c r="K70" i="5"/>
  <c r="L70" i="5" s="1"/>
  <c r="J70" i="5"/>
  <c r="N70" i="5" s="1"/>
  <c r="K69" i="5"/>
  <c r="L69" i="5" s="1"/>
  <c r="J69" i="5"/>
  <c r="N69" i="5" s="1"/>
  <c r="K68" i="5"/>
  <c r="L68" i="5" s="1"/>
  <c r="J68" i="5"/>
  <c r="N68" i="5" s="1"/>
  <c r="K67" i="5"/>
  <c r="L67" i="5" s="1"/>
  <c r="J67" i="5"/>
  <c r="N67" i="5" s="1"/>
  <c r="K66" i="5"/>
  <c r="L66" i="5" s="1"/>
  <c r="J66" i="5"/>
  <c r="N66" i="5" s="1"/>
  <c r="K65" i="5"/>
  <c r="L65" i="5" s="1"/>
  <c r="J65" i="5"/>
  <c r="N65" i="5" s="1"/>
  <c r="K64" i="5"/>
  <c r="L64" i="5" s="1"/>
  <c r="K63" i="5"/>
  <c r="L63" i="5" s="1"/>
  <c r="J63" i="5"/>
  <c r="N63" i="5" s="1"/>
  <c r="K62" i="5"/>
  <c r="L62" i="5" s="1"/>
  <c r="J62" i="5"/>
  <c r="N62" i="5" s="1"/>
  <c r="N61" i="5"/>
  <c r="L61" i="5"/>
  <c r="K61" i="5"/>
  <c r="J61" i="5"/>
  <c r="K60" i="5"/>
  <c r="L60" i="5" s="1"/>
  <c r="J60" i="5"/>
  <c r="N60" i="5" s="1"/>
  <c r="K59" i="5"/>
  <c r="L59" i="5" s="1"/>
  <c r="J59" i="5"/>
  <c r="N59" i="5" s="1"/>
  <c r="K58" i="5"/>
  <c r="L58" i="5" s="1"/>
  <c r="J58" i="5"/>
  <c r="N58" i="5" s="1"/>
  <c r="K57" i="5"/>
  <c r="L57" i="5" s="1"/>
  <c r="J57" i="5"/>
  <c r="N57" i="5" s="1"/>
  <c r="N56" i="5"/>
  <c r="K56" i="5"/>
  <c r="L56" i="5" s="1"/>
  <c r="J56" i="5"/>
  <c r="K55" i="5"/>
  <c r="L55" i="5" s="1"/>
  <c r="J55" i="5"/>
  <c r="N55" i="5" s="1"/>
  <c r="K54" i="5"/>
  <c r="L54" i="5" s="1"/>
  <c r="J54" i="5"/>
  <c r="N54" i="5" s="1"/>
  <c r="K53" i="5"/>
  <c r="L53" i="5" s="1"/>
  <c r="J53" i="5"/>
  <c r="N53" i="5" s="1"/>
  <c r="K52" i="5"/>
  <c r="L52" i="5" s="1"/>
  <c r="L75" i="5" s="1"/>
  <c r="N78" i="5" s="1"/>
  <c r="J52" i="5"/>
  <c r="N52" i="5" s="1"/>
  <c r="L44" i="5"/>
  <c r="L45" i="5"/>
  <c r="L42" i="5"/>
  <c r="K43" i="5"/>
  <c r="L43" i="5" s="1"/>
  <c r="K44" i="5"/>
  <c r="K45" i="5"/>
  <c r="K42" i="5"/>
  <c r="J43" i="5"/>
  <c r="N43" i="5" s="1"/>
  <c r="J44" i="5"/>
  <c r="N44" i="5" s="1"/>
  <c r="J45" i="5"/>
  <c r="N45" i="5" s="1"/>
  <c r="J42" i="5"/>
  <c r="N42" i="5" s="1"/>
  <c r="K36" i="5"/>
  <c r="L36" i="5" s="1"/>
  <c r="J36" i="5"/>
  <c r="N36" i="5" s="1"/>
  <c r="K35" i="5"/>
  <c r="L35" i="5" s="1"/>
  <c r="J35" i="5"/>
  <c r="N35" i="5" s="1"/>
  <c r="K34" i="5"/>
  <c r="L34" i="5" s="1"/>
  <c r="J34" i="5"/>
  <c r="N34" i="5" s="1"/>
  <c r="K33" i="5"/>
  <c r="L33" i="5" s="1"/>
  <c r="J33" i="5"/>
  <c r="N33" i="5" s="1"/>
  <c r="K24" i="5"/>
  <c r="L24" i="5" s="1"/>
  <c r="J24" i="5"/>
  <c r="N24" i="5" s="1"/>
  <c r="K23" i="5"/>
  <c r="L23" i="5" s="1"/>
  <c r="J23" i="5"/>
  <c r="N23" i="5" s="1"/>
  <c r="K22" i="5"/>
  <c r="L22" i="5" s="1"/>
  <c r="J22" i="5"/>
  <c r="N22" i="5" s="1"/>
  <c r="K21" i="5"/>
  <c r="L21" i="5" s="1"/>
  <c r="J21" i="5"/>
  <c r="N21" i="5" s="1"/>
  <c r="K20" i="5"/>
  <c r="L20" i="5" s="1"/>
  <c r="J20" i="5"/>
  <c r="N20" i="5" s="1"/>
  <c r="K19" i="5"/>
  <c r="L19" i="5" s="1"/>
  <c r="J19" i="5"/>
  <c r="N19" i="5" s="1"/>
  <c r="K18" i="5"/>
  <c r="L18" i="5" s="1"/>
  <c r="J18" i="5"/>
  <c r="N18" i="5" s="1"/>
  <c r="K17" i="5"/>
  <c r="L17" i="5" s="1"/>
  <c r="J17" i="5"/>
  <c r="N17" i="5" s="1"/>
  <c r="K16" i="5"/>
  <c r="L16" i="5" s="1"/>
  <c r="J16" i="5"/>
  <c r="N16" i="5" s="1"/>
  <c r="N15" i="5"/>
  <c r="K15" i="5"/>
  <c r="L15" i="5" s="1"/>
  <c r="J15" i="5"/>
  <c r="K14" i="5"/>
  <c r="L14" i="5" s="1"/>
  <c r="J14" i="5"/>
  <c r="N14" i="5" s="1"/>
  <c r="K13" i="5"/>
  <c r="L13" i="5" s="1"/>
  <c r="J13" i="5"/>
  <c r="N13" i="5" s="1"/>
  <c r="K12" i="5"/>
  <c r="L12" i="5" s="1"/>
  <c r="J12" i="5"/>
  <c r="N12" i="5" s="1"/>
  <c r="K11" i="5"/>
  <c r="L11" i="5" s="1"/>
  <c r="J11" i="5"/>
  <c r="N11" i="5" s="1"/>
  <c r="K10" i="5"/>
  <c r="L10" i="5" s="1"/>
  <c r="J10" i="5"/>
  <c r="N10" i="5" s="1"/>
  <c r="K9" i="5"/>
  <c r="L9" i="5" s="1"/>
  <c r="J9" i="5"/>
  <c r="N9" i="5" s="1"/>
  <c r="K8" i="5"/>
  <c r="L8" i="5" s="1"/>
  <c r="J8" i="5"/>
  <c r="N8" i="5" s="1"/>
  <c r="N7" i="5"/>
  <c r="K7" i="5"/>
  <c r="L7" i="5" s="1"/>
  <c r="J7" i="5"/>
  <c r="K6" i="5"/>
  <c r="L6" i="5" s="1"/>
  <c r="J6" i="5"/>
  <c r="N6" i="5" s="1"/>
  <c r="N5" i="5"/>
  <c r="K5" i="5"/>
  <c r="L5" i="5" s="1"/>
  <c r="J5" i="5"/>
  <c r="K4" i="5"/>
  <c r="L4" i="5" s="1"/>
  <c r="J4" i="5"/>
  <c r="N4" i="5" s="1"/>
  <c r="K3" i="5"/>
  <c r="L3" i="5" s="1"/>
  <c r="J3" i="5"/>
  <c r="N3" i="5" s="1"/>
  <c r="BG35" i="9" l="1"/>
  <c r="BI38" i="9" s="1"/>
  <c r="BG94" i="9"/>
  <c r="BI97" i="9" s="1"/>
  <c r="BG67" i="9"/>
  <c r="BI70" i="9" s="1"/>
  <c r="BI67" i="9"/>
  <c r="BI69" i="9" s="1"/>
  <c r="BI94" i="9"/>
  <c r="BI96" i="9" s="1"/>
  <c r="BI35" i="9"/>
  <c r="BI37" i="9" s="1"/>
  <c r="AL93" i="9"/>
  <c r="AN96" i="9" s="1"/>
  <c r="AL35" i="9"/>
  <c r="AN38" i="9" s="1"/>
  <c r="AL65" i="9"/>
  <c r="AN68" i="9" s="1"/>
  <c r="BI20" i="9"/>
  <c r="BI22" i="9" s="1"/>
  <c r="AL20" i="9"/>
  <c r="AN23" i="9" s="1"/>
  <c r="AN93" i="9"/>
  <c r="AN95" i="9" s="1"/>
  <c r="AN65" i="9"/>
  <c r="AN67" i="9" s="1"/>
  <c r="BG20" i="9"/>
  <c r="BI23" i="9" s="1"/>
  <c r="AN20" i="9"/>
  <c r="AN22" i="9" s="1"/>
  <c r="AN35" i="9"/>
  <c r="AN37" i="9" s="1"/>
  <c r="W79" i="9"/>
  <c r="W81" i="9" s="1"/>
  <c r="W15" i="9"/>
  <c r="W17" i="9" s="1"/>
  <c r="W57" i="9"/>
  <c r="W59" i="9" s="1"/>
  <c r="L26" i="5"/>
  <c r="N29" i="5" s="1"/>
  <c r="N26" i="5"/>
  <c r="N28" i="5" s="1"/>
  <c r="N66" i="6"/>
  <c r="N68" i="6" s="1"/>
  <c r="L62" i="8"/>
  <c r="N65" i="8" s="1"/>
  <c r="N76" i="7"/>
  <c r="N78" i="7" s="1"/>
  <c r="L76" i="7"/>
  <c r="N79" i="7" s="1"/>
  <c r="N75" i="5"/>
  <c r="N77" i="5" s="1"/>
  <c r="L66" i="6"/>
  <c r="N69" i="6" s="1"/>
  <c r="N62" i="8"/>
  <c r="N64" i="8" s="1"/>
  <c r="N23" i="7"/>
  <c r="N25" i="7" s="1"/>
  <c r="L23" i="7"/>
  <c r="N26" i="7" s="1"/>
  <c r="L21" i="6"/>
  <c r="N24" i="6" s="1"/>
  <c r="N21" i="6"/>
  <c r="N23" i="6" s="1"/>
  <c r="AE43" i="4" l="1"/>
  <c r="AD43" i="4"/>
  <c r="AC43" i="4"/>
  <c r="AG43" i="4" s="1"/>
  <c r="AD42" i="4"/>
  <c r="AE42" i="4" s="1"/>
  <c r="AC42" i="4"/>
  <c r="AG42" i="4" s="1"/>
  <c r="AG41" i="4"/>
  <c r="AD41" i="4"/>
  <c r="AE41" i="4" s="1"/>
  <c r="AC41" i="4"/>
  <c r="AG40" i="4"/>
  <c r="AD40" i="4"/>
  <c r="AE40" i="4" s="1"/>
  <c r="AC40" i="4"/>
  <c r="AD39" i="4"/>
  <c r="AE39" i="4" s="1"/>
  <c r="AC39" i="4"/>
  <c r="AG39" i="4" s="1"/>
  <c r="AD38" i="4"/>
  <c r="AE38" i="4" s="1"/>
  <c r="AC38" i="4"/>
  <c r="AG38" i="4" s="1"/>
  <c r="AD37" i="4"/>
  <c r="AE37" i="4" s="1"/>
  <c r="AC37" i="4"/>
  <c r="AG37" i="4" s="1"/>
  <c r="AG36" i="4"/>
  <c r="AD36" i="4"/>
  <c r="AE36" i="4" s="1"/>
  <c r="AC36" i="4"/>
  <c r="AD35" i="4"/>
  <c r="AE35" i="4" s="1"/>
  <c r="AC35" i="4"/>
  <c r="AG35" i="4" s="1"/>
  <c r="AD34" i="4"/>
  <c r="AE34" i="4" s="1"/>
  <c r="AC34" i="4"/>
  <c r="AG34" i="4" s="1"/>
  <c r="AD33" i="4"/>
  <c r="AE33" i="4" s="1"/>
  <c r="AC33" i="4"/>
  <c r="AG33" i="4" s="1"/>
  <c r="AD32" i="4"/>
  <c r="AE32" i="4" s="1"/>
  <c r="AC32" i="4"/>
  <c r="AG32" i="4" s="1"/>
  <c r="AD31" i="4"/>
  <c r="AE31" i="4" s="1"/>
  <c r="AC31" i="4"/>
  <c r="AG31" i="4" s="1"/>
  <c r="AD30" i="4"/>
  <c r="AE30" i="4" s="1"/>
  <c r="AC30" i="4"/>
  <c r="AG30" i="4" s="1"/>
  <c r="AG29" i="4"/>
  <c r="AD29" i="4"/>
  <c r="AE29" i="4" s="1"/>
  <c r="AC29" i="4"/>
  <c r="AD28" i="4"/>
  <c r="AE28" i="4" s="1"/>
  <c r="AC28" i="4"/>
  <c r="AG28" i="4" s="1"/>
  <c r="AG27" i="4"/>
  <c r="AE27" i="4"/>
  <c r="AD27" i="4"/>
  <c r="AC27" i="4"/>
  <c r="AD26" i="4"/>
  <c r="AE26" i="4" s="1"/>
  <c r="AC26" i="4"/>
  <c r="AG26" i="4" s="1"/>
  <c r="AD25" i="4"/>
  <c r="AE25" i="4" s="1"/>
  <c r="AC25" i="4"/>
  <c r="AG25" i="4" s="1"/>
  <c r="AD24" i="4"/>
  <c r="AE24" i="4" s="1"/>
  <c r="AC24" i="4"/>
  <c r="AG24" i="4" s="1"/>
  <c r="AD23" i="4"/>
  <c r="AE23" i="4" s="1"/>
  <c r="AC23" i="4"/>
  <c r="AG23" i="4" s="1"/>
  <c r="AG22" i="4"/>
  <c r="AD22" i="4"/>
  <c r="AE22" i="4" s="1"/>
  <c r="AC22" i="4"/>
  <c r="AD21" i="4"/>
  <c r="AE21" i="4" s="1"/>
  <c r="AC21" i="4"/>
  <c r="AG21" i="4" s="1"/>
  <c r="AD20" i="4"/>
  <c r="AE20" i="4" s="1"/>
  <c r="AC20" i="4"/>
  <c r="AG20" i="4" s="1"/>
  <c r="AD19" i="4"/>
  <c r="AE19" i="4" s="1"/>
  <c r="AC19" i="4"/>
  <c r="AG19" i="4" s="1"/>
  <c r="AD18" i="4"/>
  <c r="AE18" i="4" s="1"/>
  <c r="AC18" i="4"/>
  <c r="AG18" i="4" s="1"/>
  <c r="AD17" i="4"/>
  <c r="AE17" i="4" s="1"/>
  <c r="AC17" i="4"/>
  <c r="AG17" i="4" s="1"/>
  <c r="AG16" i="4"/>
  <c r="AD16" i="4"/>
  <c r="AE16" i="4" s="1"/>
  <c r="AC16" i="4"/>
  <c r="AD15" i="4"/>
  <c r="AE15" i="4" s="1"/>
  <c r="AC15" i="4"/>
  <c r="AG15" i="4" s="1"/>
  <c r="AD14" i="4"/>
  <c r="AE14" i="4" s="1"/>
  <c r="AC14" i="4"/>
  <c r="AG14" i="4" s="1"/>
  <c r="AD13" i="4"/>
  <c r="AE13" i="4" s="1"/>
  <c r="AC13" i="4"/>
  <c r="AG13" i="4" s="1"/>
  <c r="AG12" i="4"/>
  <c r="AE12" i="4"/>
  <c r="AD12" i="4"/>
  <c r="AC12" i="4"/>
  <c r="AG11" i="4"/>
  <c r="AD11" i="4"/>
  <c r="AE11" i="4" s="1"/>
  <c r="AC11" i="4"/>
  <c r="AD10" i="4"/>
  <c r="AE10" i="4" s="1"/>
  <c r="AC10" i="4"/>
  <c r="AG10" i="4" s="1"/>
  <c r="AD9" i="4"/>
  <c r="AE9" i="4" s="1"/>
  <c r="AC9" i="4"/>
  <c r="AG9" i="4" s="1"/>
  <c r="AD8" i="4"/>
  <c r="AE8" i="4" s="1"/>
  <c r="AC8" i="4"/>
  <c r="AG8" i="4" s="1"/>
  <c r="AE7" i="4"/>
  <c r="AD7" i="4"/>
  <c r="AC7" i="4"/>
  <c r="AG7" i="4" s="1"/>
  <c r="AG6" i="4"/>
  <c r="AD6" i="4"/>
  <c r="AE6" i="4" s="1"/>
  <c r="AC6" i="4"/>
  <c r="AD5" i="4"/>
  <c r="AE5" i="4" s="1"/>
  <c r="AC5" i="4"/>
  <c r="AG5" i="4" s="1"/>
  <c r="AD4" i="4"/>
  <c r="AE4" i="4" s="1"/>
  <c r="AC4" i="4"/>
  <c r="AG4" i="4" s="1"/>
  <c r="AD3" i="4"/>
  <c r="AE3" i="4" s="1"/>
  <c r="AC3" i="4"/>
  <c r="AG3" i="4" s="1"/>
  <c r="L60" i="4"/>
  <c r="M60" i="4" s="1"/>
  <c r="K60" i="4"/>
  <c r="O60" i="4" s="1"/>
  <c r="L59" i="4"/>
  <c r="M59" i="4" s="1"/>
  <c r="K59" i="4"/>
  <c r="O59" i="4" s="1"/>
  <c r="O58" i="4"/>
  <c r="M58" i="4"/>
  <c r="L58" i="4"/>
  <c r="K58" i="4"/>
  <c r="L57" i="4"/>
  <c r="M57" i="4" s="1"/>
  <c r="K57" i="4"/>
  <c r="O57" i="4" s="1"/>
  <c r="L56" i="4"/>
  <c r="M56" i="4" s="1"/>
  <c r="K56" i="4"/>
  <c r="O56" i="4" s="1"/>
  <c r="L55" i="4"/>
  <c r="M55" i="4" s="1"/>
  <c r="K55" i="4"/>
  <c r="O55" i="4" s="1"/>
  <c r="O54" i="4"/>
  <c r="M54" i="4"/>
  <c r="L54" i="4"/>
  <c r="K54" i="4"/>
  <c r="O53" i="4"/>
  <c r="L53" i="4"/>
  <c r="M53" i="4" s="1"/>
  <c r="K53" i="4"/>
  <c r="L52" i="4"/>
  <c r="M52" i="4" s="1"/>
  <c r="K52" i="4"/>
  <c r="O52" i="4" s="1"/>
  <c r="O51" i="4"/>
  <c r="L51" i="4"/>
  <c r="M51" i="4" s="1"/>
  <c r="K51" i="4"/>
  <c r="L50" i="4"/>
  <c r="M50" i="4" s="1"/>
  <c r="K50" i="4"/>
  <c r="O50" i="4" s="1"/>
  <c r="M49" i="4"/>
  <c r="L49" i="4"/>
  <c r="K49" i="4"/>
  <c r="O49" i="4" s="1"/>
  <c r="O48" i="4"/>
  <c r="L48" i="4"/>
  <c r="M48" i="4" s="1"/>
  <c r="K48" i="4"/>
  <c r="L47" i="4"/>
  <c r="M47" i="4" s="1"/>
  <c r="K47" i="4"/>
  <c r="O47" i="4" s="1"/>
  <c r="O46" i="4"/>
  <c r="L46" i="4"/>
  <c r="M46" i="4" s="1"/>
  <c r="K46" i="4"/>
  <c r="L45" i="4"/>
  <c r="M45" i="4" s="1"/>
  <c r="K45" i="4"/>
  <c r="O45" i="4" s="1"/>
  <c r="O44" i="4"/>
  <c r="M44" i="4"/>
  <c r="L44" i="4"/>
  <c r="K44" i="4"/>
  <c r="O43" i="4"/>
  <c r="L43" i="4"/>
  <c r="M43" i="4" s="1"/>
  <c r="K43" i="4"/>
  <c r="L42" i="4"/>
  <c r="M42" i="4" s="1"/>
  <c r="K42" i="4"/>
  <c r="O42" i="4" s="1"/>
  <c r="L41" i="4"/>
  <c r="M41" i="4" s="1"/>
  <c r="K41" i="4"/>
  <c r="O41" i="4" s="1"/>
  <c r="L40" i="4"/>
  <c r="M40" i="4" s="1"/>
  <c r="K40" i="4"/>
  <c r="O40" i="4" s="1"/>
  <c r="M39" i="4"/>
  <c r="L39" i="4"/>
  <c r="K39" i="4"/>
  <c r="O39" i="4" s="1"/>
  <c r="L38" i="4"/>
  <c r="M38" i="4" s="1"/>
  <c r="K38" i="4"/>
  <c r="O38" i="4" s="1"/>
  <c r="O37" i="4"/>
  <c r="L37" i="4"/>
  <c r="M37" i="4" s="1"/>
  <c r="K37" i="4"/>
  <c r="L36" i="4"/>
  <c r="M36" i="4" s="1"/>
  <c r="K36" i="4"/>
  <c r="O36" i="4" s="1"/>
  <c r="M35" i="4"/>
  <c r="L35" i="4"/>
  <c r="K35" i="4"/>
  <c r="O35" i="4" s="1"/>
  <c r="O34" i="4"/>
  <c r="L34" i="4"/>
  <c r="M34" i="4" s="1"/>
  <c r="K34" i="4"/>
  <c r="L33" i="4"/>
  <c r="M33" i="4" s="1"/>
  <c r="K33" i="4"/>
  <c r="O33" i="4" s="1"/>
  <c r="O32" i="4"/>
  <c r="L32" i="4"/>
  <c r="M32" i="4" s="1"/>
  <c r="K32" i="4"/>
  <c r="L31" i="4"/>
  <c r="M31" i="4" s="1"/>
  <c r="K31" i="4"/>
  <c r="O31" i="4" s="1"/>
  <c r="L30" i="4"/>
  <c r="M30" i="4" s="1"/>
  <c r="K30" i="4"/>
  <c r="O30" i="4" s="1"/>
  <c r="L29" i="4"/>
  <c r="M29" i="4" s="1"/>
  <c r="K29" i="4"/>
  <c r="O29" i="4" s="1"/>
  <c r="L28" i="4"/>
  <c r="M28" i="4" s="1"/>
  <c r="K28" i="4"/>
  <c r="O28" i="4" s="1"/>
  <c r="L27" i="4"/>
  <c r="M27" i="4" s="1"/>
  <c r="K27" i="4"/>
  <c r="O27" i="4" s="1"/>
  <c r="L26" i="4"/>
  <c r="M26" i="4" s="1"/>
  <c r="K26" i="4"/>
  <c r="O26" i="4" s="1"/>
  <c r="L25" i="4"/>
  <c r="M25" i="4" s="1"/>
  <c r="K25" i="4"/>
  <c r="O25" i="4" s="1"/>
  <c r="L24" i="4"/>
  <c r="M24" i="4" s="1"/>
  <c r="K24" i="4"/>
  <c r="O24" i="4" s="1"/>
  <c r="L23" i="4"/>
  <c r="M23" i="4" s="1"/>
  <c r="K23" i="4"/>
  <c r="O23" i="4" s="1"/>
  <c r="L22" i="4"/>
  <c r="M22" i="4" s="1"/>
  <c r="K22" i="4"/>
  <c r="O22" i="4" s="1"/>
  <c r="L21" i="4"/>
  <c r="M21" i="4" s="1"/>
  <c r="K21" i="4"/>
  <c r="O21" i="4" s="1"/>
  <c r="L20" i="4"/>
  <c r="M20" i="4" s="1"/>
  <c r="K20" i="4"/>
  <c r="O20" i="4" s="1"/>
  <c r="L19" i="4"/>
  <c r="M19" i="4" s="1"/>
  <c r="K19" i="4"/>
  <c r="O19" i="4" s="1"/>
  <c r="L18" i="4"/>
  <c r="M18" i="4" s="1"/>
  <c r="K18" i="4"/>
  <c r="O18" i="4" s="1"/>
  <c r="L17" i="4"/>
  <c r="M17" i="4" s="1"/>
  <c r="K17" i="4"/>
  <c r="O17" i="4" s="1"/>
  <c r="L16" i="4"/>
  <c r="M16" i="4" s="1"/>
  <c r="K16" i="4"/>
  <c r="O16" i="4" s="1"/>
  <c r="L15" i="4"/>
  <c r="M15" i="4" s="1"/>
  <c r="K15" i="4"/>
  <c r="O15" i="4" s="1"/>
  <c r="L14" i="4"/>
  <c r="M14" i="4" s="1"/>
  <c r="K14" i="4"/>
  <c r="O14" i="4" s="1"/>
  <c r="L13" i="4"/>
  <c r="M13" i="4" s="1"/>
  <c r="K13" i="4"/>
  <c r="O13" i="4" s="1"/>
  <c r="O12" i="4"/>
  <c r="L12" i="4"/>
  <c r="M12" i="4" s="1"/>
  <c r="K12" i="4"/>
  <c r="L11" i="4"/>
  <c r="M11" i="4" s="1"/>
  <c r="K11" i="4"/>
  <c r="O11" i="4" s="1"/>
  <c r="L10" i="4"/>
  <c r="M10" i="4" s="1"/>
  <c r="K10" i="4"/>
  <c r="O10" i="4" s="1"/>
  <c r="L9" i="4"/>
  <c r="M9" i="4" s="1"/>
  <c r="K9" i="4"/>
  <c r="O9" i="4" s="1"/>
  <c r="O8" i="4"/>
  <c r="M8" i="4"/>
  <c r="L8" i="4"/>
  <c r="K8" i="4"/>
  <c r="L7" i="4"/>
  <c r="M7" i="4" s="1"/>
  <c r="K7" i="4"/>
  <c r="O7" i="4" s="1"/>
  <c r="L6" i="4"/>
  <c r="M6" i="4" s="1"/>
  <c r="K6" i="4"/>
  <c r="O6" i="4" s="1"/>
  <c r="L5" i="4"/>
  <c r="M5" i="4" s="1"/>
  <c r="K5" i="4"/>
  <c r="O5" i="4" s="1"/>
  <c r="O4" i="4"/>
  <c r="L4" i="4"/>
  <c r="M4" i="4" s="1"/>
  <c r="K4" i="4"/>
  <c r="O3" i="4"/>
  <c r="L3" i="4"/>
  <c r="M3" i="4" s="1"/>
  <c r="K3" i="4"/>
  <c r="BI78" i="3"/>
  <c r="BI80" i="3"/>
  <c r="BG78" i="3"/>
  <c r="BI81" i="3" s="1"/>
  <c r="BF76" i="3"/>
  <c r="BG76" i="3" s="1"/>
  <c r="BE76" i="3"/>
  <c r="BI76" i="3" s="1"/>
  <c r="BF57" i="3"/>
  <c r="BG57" i="3" s="1"/>
  <c r="BE57" i="3"/>
  <c r="BI57" i="3" s="1"/>
  <c r="BF56" i="3"/>
  <c r="BG56" i="3" s="1"/>
  <c r="BE56" i="3"/>
  <c r="BI56" i="3" s="1"/>
  <c r="BF55" i="3"/>
  <c r="BG55" i="3" s="1"/>
  <c r="BE55" i="3"/>
  <c r="BI55" i="3" s="1"/>
  <c r="BF54" i="3"/>
  <c r="BG54" i="3" s="1"/>
  <c r="BE54" i="3"/>
  <c r="BI54" i="3" s="1"/>
  <c r="BF53" i="3"/>
  <c r="BG53" i="3" s="1"/>
  <c r="BG59" i="3" s="1"/>
  <c r="BI62" i="3" s="1"/>
  <c r="BE53" i="3"/>
  <c r="BI53" i="3" s="1"/>
  <c r="BI59" i="3" s="1"/>
  <c r="BI61" i="3" s="1"/>
  <c r="BF29" i="3"/>
  <c r="BG29" i="3" s="1"/>
  <c r="BE29" i="3"/>
  <c r="BI29" i="3" s="1"/>
  <c r="BF28" i="3"/>
  <c r="BG28" i="3" s="1"/>
  <c r="BE28" i="3"/>
  <c r="BI28" i="3" s="1"/>
  <c r="BI27" i="3"/>
  <c r="BF27" i="3"/>
  <c r="BG27" i="3" s="1"/>
  <c r="BG31" i="3" s="1"/>
  <c r="BI34" i="3" s="1"/>
  <c r="BE27" i="3"/>
  <c r="BF26" i="3"/>
  <c r="BG26" i="3" s="1"/>
  <c r="BE26" i="3"/>
  <c r="BI26" i="3" s="1"/>
  <c r="BF25" i="3"/>
  <c r="BG25" i="3" s="1"/>
  <c r="BE25" i="3"/>
  <c r="BI25" i="3" s="1"/>
  <c r="BI31" i="3" s="1"/>
  <c r="BI33" i="3" s="1"/>
  <c r="BI20" i="3"/>
  <c r="BG18" i="3"/>
  <c r="BI21" i="3" s="1"/>
  <c r="BI18" i="3"/>
  <c r="AK81" i="3"/>
  <c r="AL81" i="3" s="1"/>
  <c r="AJ81" i="3"/>
  <c r="AN81" i="3" s="1"/>
  <c r="AK80" i="3"/>
  <c r="AL80" i="3" s="1"/>
  <c r="AJ80" i="3"/>
  <c r="AN80" i="3" s="1"/>
  <c r="AN79" i="3"/>
  <c r="AK79" i="3"/>
  <c r="AL79" i="3" s="1"/>
  <c r="AJ79" i="3"/>
  <c r="AN78" i="3"/>
  <c r="AK78" i="3"/>
  <c r="AL78" i="3" s="1"/>
  <c r="AJ78" i="3"/>
  <c r="AK77" i="3"/>
  <c r="AL77" i="3" s="1"/>
  <c r="AJ77" i="3"/>
  <c r="AN77" i="3" s="1"/>
  <c r="AK76" i="3"/>
  <c r="AL76" i="3" s="1"/>
  <c r="AJ76" i="3"/>
  <c r="AN76" i="3" s="1"/>
  <c r="AK75" i="3"/>
  <c r="AL75" i="3" s="1"/>
  <c r="AJ75" i="3"/>
  <c r="AN75" i="3" s="1"/>
  <c r="AK74" i="3"/>
  <c r="AL74" i="3" s="1"/>
  <c r="AJ74" i="3"/>
  <c r="AN74" i="3" s="1"/>
  <c r="AK73" i="3"/>
  <c r="AL73" i="3" s="1"/>
  <c r="AJ73" i="3"/>
  <c r="AN73" i="3" s="1"/>
  <c r="AK72" i="3"/>
  <c r="AL72" i="3" s="1"/>
  <c r="AJ72" i="3"/>
  <c r="AN72" i="3" s="1"/>
  <c r="AK62" i="3"/>
  <c r="AL62" i="3" s="1"/>
  <c r="AJ62" i="3"/>
  <c r="AN62" i="3" s="1"/>
  <c r="AK61" i="3"/>
  <c r="AL61" i="3" s="1"/>
  <c r="AJ61" i="3"/>
  <c r="AN61" i="3" s="1"/>
  <c r="AN60" i="3"/>
  <c r="AK60" i="3"/>
  <c r="AL60" i="3" s="1"/>
  <c r="AJ60" i="3"/>
  <c r="AK59" i="3"/>
  <c r="AL59" i="3" s="1"/>
  <c r="AJ59" i="3"/>
  <c r="AN59" i="3" s="1"/>
  <c r="AK58" i="3"/>
  <c r="AL58" i="3" s="1"/>
  <c r="AJ58" i="3"/>
  <c r="AN58" i="3" s="1"/>
  <c r="AK57" i="3"/>
  <c r="AL57" i="3" s="1"/>
  <c r="AJ57" i="3"/>
  <c r="AN57" i="3" s="1"/>
  <c r="AK56" i="3"/>
  <c r="AL56" i="3" s="1"/>
  <c r="AJ56" i="3"/>
  <c r="AN56" i="3" s="1"/>
  <c r="AN55" i="3"/>
  <c r="AK55" i="3"/>
  <c r="AL55" i="3" s="1"/>
  <c r="AJ55" i="3"/>
  <c r="AK54" i="3"/>
  <c r="AL54" i="3" s="1"/>
  <c r="AJ54" i="3"/>
  <c r="AN54" i="3" s="1"/>
  <c r="AK53" i="3"/>
  <c r="AL53" i="3" s="1"/>
  <c r="AJ53" i="3"/>
  <c r="AN53" i="3" s="1"/>
  <c r="AK52" i="3"/>
  <c r="AL52" i="3" s="1"/>
  <c r="AJ52" i="3"/>
  <c r="AN52" i="3" s="1"/>
  <c r="AN51" i="3"/>
  <c r="AK51" i="3"/>
  <c r="AL51" i="3" s="1"/>
  <c r="AJ51" i="3"/>
  <c r="AN50" i="3"/>
  <c r="AL50" i="3"/>
  <c r="AK50" i="3"/>
  <c r="AJ50" i="3"/>
  <c r="AK49" i="3"/>
  <c r="AL49" i="3" s="1"/>
  <c r="AJ49" i="3"/>
  <c r="AN49" i="3" s="1"/>
  <c r="AK48" i="3"/>
  <c r="AL48" i="3" s="1"/>
  <c r="AJ48" i="3"/>
  <c r="AN48" i="3" s="1"/>
  <c r="AK47" i="3"/>
  <c r="AL47" i="3" s="1"/>
  <c r="AJ47" i="3"/>
  <c r="AN47" i="3" s="1"/>
  <c r="AN46" i="3"/>
  <c r="AL46" i="3"/>
  <c r="AK46" i="3"/>
  <c r="AJ46" i="3"/>
  <c r="AN45" i="3"/>
  <c r="AK45" i="3"/>
  <c r="AL45" i="3" s="1"/>
  <c r="AJ45" i="3"/>
  <c r="AK44" i="3"/>
  <c r="AL44" i="3" s="1"/>
  <c r="AL64" i="3" s="1"/>
  <c r="AN67" i="3" s="1"/>
  <c r="AJ44" i="3"/>
  <c r="AN44" i="3" s="1"/>
  <c r="AK34" i="3"/>
  <c r="AL34" i="3" s="1"/>
  <c r="AJ34" i="3"/>
  <c r="AN34" i="3" s="1"/>
  <c r="AK33" i="3"/>
  <c r="AL33" i="3" s="1"/>
  <c r="AJ33" i="3"/>
  <c r="AN33" i="3" s="1"/>
  <c r="AK32" i="3"/>
  <c r="AL32" i="3" s="1"/>
  <c r="AJ32" i="3"/>
  <c r="AN32" i="3" s="1"/>
  <c r="AK31" i="3"/>
  <c r="AL31" i="3" s="1"/>
  <c r="AJ31" i="3"/>
  <c r="AN31" i="3" s="1"/>
  <c r="AK30" i="3"/>
  <c r="AL30" i="3" s="1"/>
  <c r="AL36" i="3" s="1"/>
  <c r="AN39" i="3" s="1"/>
  <c r="AJ30" i="3"/>
  <c r="AN30" i="3" s="1"/>
  <c r="AK16" i="3"/>
  <c r="AL16" i="3" s="1"/>
  <c r="AJ16" i="3"/>
  <c r="AN16" i="3" s="1"/>
  <c r="AK15" i="3"/>
  <c r="AL15" i="3" s="1"/>
  <c r="AJ15" i="3"/>
  <c r="AN15" i="3" s="1"/>
  <c r="AK14" i="3"/>
  <c r="AL14" i="3" s="1"/>
  <c r="AJ14" i="3"/>
  <c r="AN14" i="3" s="1"/>
  <c r="AK13" i="3"/>
  <c r="AL13" i="3" s="1"/>
  <c r="AJ13" i="3"/>
  <c r="AN13" i="3" s="1"/>
  <c r="AK12" i="3"/>
  <c r="AL12" i="3" s="1"/>
  <c r="AJ12" i="3"/>
  <c r="AN12" i="3" s="1"/>
  <c r="AK11" i="3"/>
  <c r="AL11" i="3" s="1"/>
  <c r="AJ11" i="3"/>
  <c r="AN11" i="3" s="1"/>
  <c r="AK10" i="3"/>
  <c r="AL10" i="3" s="1"/>
  <c r="AJ10" i="3"/>
  <c r="AN10" i="3" s="1"/>
  <c r="AK9" i="3"/>
  <c r="AL9" i="3" s="1"/>
  <c r="AJ9" i="3"/>
  <c r="AN9" i="3" s="1"/>
  <c r="AK8" i="3"/>
  <c r="AL8" i="3" s="1"/>
  <c r="AJ8" i="3"/>
  <c r="AN8" i="3" s="1"/>
  <c r="AK7" i="3"/>
  <c r="AL7" i="3" s="1"/>
  <c r="AJ7" i="3"/>
  <c r="AN7" i="3" s="1"/>
  <c r="AK6" i="3"/>
  <c r="AL6" i="3" s="1"/>
  <c r="AJ6" i="3"/>
  <c r="AN6" i="3" s="1"/>
  <c r="AK5" i="3"/>
  <c r="AL5" i="3" s="1"/>
  <c r="AJ5" i="3"/>
  <c r="AN5" i="3" s="1"/>
  <c r="AK4" i="3"/>
  <c r="AL4" i="3" s="1"/>
  <c r="AJ4" i="3"/>
  <c r="AN4" i="3" s="1"/>
  <c r="AK3" i="3"/>
  <c r="AL3" i="3" s="1"/>
  <c r="AL18" i="3" s="1"/>
  <c r="AN21" i="3" s="1"/>
  <c r="AJ3" i="3"/>
  <c r="AN3" i="3" s="1"/>
  <c r="AN18" i="3" s="1"/>
  <c r="AN20" i="3" s="1"/>
  <c r="T69" i="3"/>
  <c r="U69" i="3" s="1"/>
  <c r="S69" i="3"/>
  <c r="W69" i="3" s="1"/>
  <c r="T68" i="3"/>
  <c r="U68" i="3" s="1"/>
  <c r="S68" i="3"/>
  <c r="W68" i="3" s="1"/>
  <c r="T67" i="3"/>
  <c r="U67" i="3" s="1"/>
  <c r="S67" i="3"/>
  <c r="W67" i="3" s="1"/>
  <c r="T66" i="3"/>
  <c r="U66" i="3" s="1"/>
  <c r="S66" i="3"/>
  <c r="W66" i="3" s="1"/>
  <c r="T65" i="3"/>
  <c r="U65" i="3" s="1"/>
  <c r="S65" i="3"/>
  <c r="W65" i="3" s="1"/>
  <c r="U64" i="3"/>
  <c r="T64" i="3"/>
  <c r="S64" i="3"/>
  <c r="W64" i="3" s="1"/>
  <c r="T63" i="3"/>
  <c r="U63" i="3" s="1"/>
  <c r="S63" i="3"/>
  <c r="W63" i="3" s="1"/>
  <c r="T62" i="3"/>
  <c r="U62" i="3" s="1"/>
  <c r="S62" i="3"/>
  <c r="W62" i="3" s="1"/>
  <c r="T51" i="3"/>
  <c r="U51" i="3" s="1"/>
  <c r="S51" i="3"/>
  <c r="W51" i="3" s="1"/>
  <c r="T50" i="3"/>
  <c r="U50" i="3" s="1"/>
  <c r="S50" i="3"/>
  <c r="W50" i="3" s="1"/>
  <c r="W49" i="3"/>
  <c r="T49" i="3"/>
  <c r="U49" i="3" s="1"/>
  <c r="S49" i="3"/>
  <c r="T48" i="3"/>
  <c r="U48" i="3" s="1"/>
  <c r="S48" i="3"/>
  <c r="W48" i="3" s="1"/>
  <c r="U47" i="3"/>
  <c r="T47" i="3"/>
  <c r="S47" i="3"/>
  <c r="W47" i="3" s="1"/>
  <c r="T46" i="3"/>
  <c r="U46" i="3" s="1"/>
  <c r="S46" i="3"/>
  <c r="W46" i="3" s="1"/>
  <c r="T45" i="3"/>
  <c r="U45" i="3" s="1"/>
  <c r="S45" i="3"/>
  <c r="W45" i="3" s="1"/>
  <c r="U44" i="3"/>
  <c r="T44" i="3"/>
  <c r="S44" i="3"/>
  <c r="W44" i="3" s="1"/>
  <c r="T43" i="3"/>
  <c r="U43" i="3" s="1"/>
  <c r="S43" i="3"/>
  <c r="W43" i="3" s="1"/>
  <c r="W42" i="3"/>
  <c r="T42" i="3"/>
  <c r="U42" i="3" s="1"/>
  <c r="S42" i="3"/>
  <c r="T41" i="3"/>
  <c r="U41" i="3" s="1"/>
  <c r="S41" i="3"/>
  <c r="W41" i="3" s="1"/>
  <c r="T40" i="3"/>
  <c r="U40" i="3" s="1"/>
  <c r="S40" i="3"/>
  <c r="W40" i="3" s="1"/>
  <c r="T39" i="3"/>
  <c r="U39" i="3" s="1"/>
  <c r="S39" i="3"/>
  <c r="W39" i="3" s="1"/>
  <c r="T38" i="3"/>
  <c r="U38" i="3" s="1"/>
  <c r="S38" i="3"/>
  <c r="W38" i="3" s="1"/>
  <c r="U37" i="3"/>
  <c r="U53" i="3" s="1"/>
  <c r="W56" i="3" s="1"/>
  <c r="T37" i="3"/>
  <c r="S37" i="3"/>
  <c r="W37" i="3" s="1"/>
  <c r="W53" i="3" s="1"/>
  <c r="W55" i="3" s="1"/>
  <c r="T36" i="3"/>
  <c r="U36" i="3" s="1"/>
  <c r="S36" i="3"/>
  <c r="W36" i="3" s="1"/>
  <c r="T26" i="3"/>
  <c r="U26" i="3" s="1"/>
  <c r="S26" i="3"/>
  <c r="W26" i="3" s="1"/>
  <c r="T25" i="3"/>
  <c r="U25" i="3" s="1"/>
  <c r="S25" i="3"/>
  <c r="W25" i="3" s="1"/>
  <c r="T24" i="3"/>
  <c r="U24" i="3" s="1"/>
  <c r="U28" i="3" s="1"/>
  <c r="W31" i="3" s="1"/>
  <c r="S24" i="3"/>
  <c r="W24" i="3" s="1"/>
  <c r="T23" i="3"/>
  <c r="U23" i="3" s="1"/>
  <c r="S23" i="3"/>
  <c r="W23" i="3" s="1"/>
  <c r="T22" i="3"/>
  <c r="U22" i="3" s="1"/>
  <c r="S22" i="3"/>
  <c r="W22" i="3" s="1"/>
  <c r="W28" i="3" s="1"/>
  <c r="W30" i="3" s="1"/>
  <c r="T13" i="3"/>
  <c r="U13" i="3" s="1"/>
  <c r="S13" i="3"/>
  <c r="W13" i="3" s="1"/>
  <c r="T12" i="3"/>
  <c r="U12" i="3" s="1"/>
  <c r="S12" i="3"/>
  <c r="W12" i="3" s="1"/>
  <c r="T11" i="3"/>
  <c r="U11" i="3" s="1"/>
  <c r="S11" i="3"/>
  <c r="W11" i="3" s="1"/>
  <c r="T10" i="3"/>
  <c r="U10" i="3" s="1"/>
  <c r="S10" i="3"/>
  <c r="W10" i="3" s="1"/>
  <c r="T9" i="3"/>
  <c r="U9" i="3" s="1"/>
  <c r="S9" i="3"/>
  <c r="W9" i="3" s="1"/>
  <c r="T8" i="3"/>
  <c r="U8" i="3" s="1"/>
  <c r="S8" i="3"/>
  <c r="W8" i="3" s="1"/>
  <c r="T7" i="3"/>
  <c r="U7" i="3" s="1"/>
  <c r="S7" i="3"/>
  <c r="W7" i="3" s="1"/>
  <c r="W6" i="3"/>
  <c r="T6" i="3"/>
  <c r="U6" i="3" s="1"/>
  <c r="S6" i="3"/>
  <c r="T5" i="3"/>
  <c r="U5" i="3" s="1"/>
  <c r="S5" i="3"/>
  <c r="W5" i="3" s="1"/>
  <c r="W15" i="3" s="1"/>
  <c r="W17" i="3" s="1"/>
  <c r="T4" i="3"/>
  <c r="U4" i="3" s="1"/>
  <c r="S4" i="3"/>
  <c r="W4" i="3" s="1"/>
  <c r="T3" i="3"/>
  <c r="U3" i="3" s="1"/>
  <c r="S3" i="3"/>
  <c r="W3" i="3" s="1"/>
  <c r="BF82" i="2"/>
  <c r="BG82" i="2" s="1"/>
  <c r="BE82" i="2"/>
  <c r="BI82" i="2" s="1"/>
  <c r="BF81" i="2"/>
  <c r="BG81" i="2" s="1"/>
  <c r="BE81" i="2"/>
  <c r="BI81" i="2" s="1"/>
  <c r="BF80" i="2"/>
  <c r="BG80" i="2" s="1"/>
  <c r="BE80" i="2"/>
  <c r="BI80" i="2" s="1"/>
  <c r="BF79" i="2"/>
  <c r="BG79" i="2" s="1"/>
  <c r="BE79" i="2"/>
  <c r="BI79" i="2" s="1"/>
  <c r="BF78" i="2"/>
  <c r="BG78" i="2" s="1"/>
  <c r="BE78" i="2"/>
  <c r="BI78" i="2" s="1"/>
  <c r="BF77" i="2"/>
  <c r="BG77" i="2" s="1"/>
  <c r="BE77" i="2"/>
  <c r="BI77" i="2" s="1"/>
  <c r="BI76" i="2"/>
  <c r="BG76" i="2"/>
  <c r="BF76" i="2"/>
  <c r="BE76" i="2"/>
  <c r="BF75" i="2"/>
  <c r="BG75" i="2" s="1"/>
  <c r="BE75" i="2"/>
  <c r="BI75" i="2" s="1"/>
  <c r="BF74" i="2"/>
  <c r="BG74" i="2" s="1"/>
  <c r="BE74" i="2"/>
  <c r="BI74" i="2" s="1"/>
  <c r="BF73" i="2"/>
  <c r="BG73" i="2" s="1"/>
  <c r="BE73" i="2"/>
  <c r="BI73" i="2" s="1"/>
  <c r="BF72" i="2"/>
  <c r="BG72" i="2" s="1"/>
  <c r="BE72" i="2"/>
  <c r="BI72" i="2" s="1"/>
  <c r="BI71" i="2"/>
  <c r="BI84" i="2" s="1"/>
  <c r="BI86" i="2" s="1"/>
  <c r="BF71" i="2"/>
  <c r="BG71" i="2" s="1"/>
  <c r="BE71" i="2"/>
  <c r="BF70" i="2"/>
  <c r="BG70" i="2" s="1"/>
  <c r="BE70" i="2"/>
  <c r="BI70" i="2" s="1"/>
  <c r="BF56" i="2"/>
  <c r="BG56" i="2" s="1"/>
  <c r="BE56" i="2"/>
  <c r="BI56" i="2" s="1"/>
  <c r="BI55" i="2"/>
  <c r="BF55" i="2"/>
  <c r="BG55" i="2" s="1"/>
  <c r="BE55" i="2"/>
  <c r="BI54" i="2"/>
  <c r="BG54" i="2"/>
  <c r="BF54" i="2"/>
  <c r="BE54" i="2"/>
  <c r="BF53" i="2"/>
  <c r="BG53" i="2" s="1"/>
  <c r="BE53" i="2"/>
  <c r="BI53" i="2" s="1"/>
  <c r="BF52" i="2"/>
  <c r="BG52" i="2" s="1"/>
  <c r="BE52" i="2"/>
  <c r="BI52" i="2" s="1"/>
  <c r="BF51" i="2"/>
  <c r="BG51" i="2" s="1"/>
  <c r="BE51" i="2"/>
  <c r="BI51" i="2" s="1"/>
  <c r="BI50" i="2"/>
  <c r="BF50" i="2"/>
  <c r="BG50" i="2" s="1"/>
  <c r="BE50" i="2"/>
  <c r="BF49" i="2"/>
  <c r="BG49" i="2" s="1"/>
  <c r="BE49" i="2"/>
  <c r="BI49" i="2" s="1"/>
  <c r="BF48" i="2"/>
  <c r="BG48" i="2" s="1"/>
  <c r="BE48" i="2"/>
  <c r="BI48" i="2" s="1"/>
  <c r="BF47" i="2"/>
  <c r="BG47" i="2" s="1"/>
  <c r="BE47" i="2"/>
  <c r="BI47" i="2" s="1"/>
  <c r="BI46" i="2"/>
  <c r="BF46" i="2"/>
  <c r="BG46" i="2" s="1"/>
  <c r="BE46" i="2"/>
  <c r="BG45" i="2"/>
  <c r="BF45" i="2"/>
  <c r="BE45" i="2"/>
  <c r="BI45" i="2" s="1"/>
  <c r="BF44" i="2"/>
  <c r="BG44" i="2" s="1"/>
  <c r="BE44" i="2"/>
  <c r="BI44" i="2" s="1"/>
  <c r="BI43" i="2"/>
  <c r="BF43" i="2"/>
  <c r="BG43" i="2" s="1"/>
  <c r="BE43" i="2"/>
  <c r="BF42" i="2"/>
  <c r="BG42" i="2" s="1"/>
  <c r="BE42" i="2"/>
  <c r="BI42" i="2" s="1"/>
  <c r="BI41" i="2"/>
  <c r="BF41" i="2"/>
  <c r="BG41" i="2" s="1"/>
  <c r="BE41" i="2"/>
  <c r="BI40" i="2"/>
  <c r="BI58" i="2" s="1"/>
  <c r="BI60" i="2" s="1"/>
  <c r="BG40" i="2"/>
  <c r="BG58" i="2" s="1"/>
  <c r="BI61" i="2" s="1"/>
  <c r="BF40" i="2"/>
  <c r="BE40" i="2"/>
  <c r="BF31" i="2"/>
  <c r="BG31" i="2" s="1"/>
  <c r="BE31" i="2"/>
  <c r="BI31" i="2" s="1"/>
  <c r="BF30" i="2"/>
  <c r="BG30" i="2" s="1"/>
  <c r="BE30" i="2"/>
  <c r="BI30" i="2" s="1"/>
  <c r="BF29" i="2"/>
  <c r="BG29" i="2" s="1"/>
  <c r="BG33" i="2" s="1"/>
  <c r="BI36" i="2" s="1"/>
  <c r="BE29" i="2"/>
  <c r="BI29" i="2" s="1"/>
  <c r="BF28" i="2"/>
  <c r="BG28" i="2" s="1"/>
  <c r="BE28" i="2"/>
  <c r="BI28" i="2" s="1"/>
  <c r="BI33" i="2" s="1"/>
  <c r="BI35" i="2" s="1"/>
  <c r="BF15" i="2"/>
  <c r="BG15" i="2" s="1"/>
  <c r="BE15" i="2"/>
  <c r="BI15" i="2" s="1"/>
  <c r="BF14" i="2"/>
  <c r="BG14" i="2" s="1"/>
  <c r="BE14" i="2"/>
  <c r="BI14" i="2" s="1"/>
  <c r="BG13" i="2"/>
  <c r="BF13" i="2"/>
  <c r="BE13" i="2"/>
  <c r="BI13" i="2" s="1"/>
  <c r="BF12" i="2"/>
  <c r="BG12" i="2" s="1"/>
  <c r="BE12" i="2"/>
  <c r="BI12" i="2" s="1"/>
  <c r="BF11" i="2"/>
  <c r="BG11" i="2" s="1"/>
  <c r="BE11" i="2"/>
  <c r="BI11" i="2" s="1"/>
  <c r="BF10" i="2"/>
  <c r="BG10" i="2" s="1"/>
  <c r="BE10" i="2"/>
  <c r="BI10" i="2" s="1"/>
  <c r="BI9" i="2"/>
  <c r="BF9" i="2"/>
  <c r="BG9" i="2" s="1"/>
  <c r="BE9" i="2"/>
  <c r="BF8" i="2"/>
  <c r="BG8" i="2" s="1"/>
  <c r="BE8" i="2"/>
  <c r="BI8" i="2" s="1"/>
  <c r="BF7" i="2"/>
  <c r="BG7" i="2" s="1"/>
  <c r="BE7" i="2"/>
  <c r="BI7" i="2" s="1"/>
  <c r="BF6" i="2"/>
  <c r="BG6" i="2" s="1"/>
  <c r="BE6" i="2"/>
  <c r="BI6" i="2" s="1"/>
  <c r="BF5" i="2"/>
  <c r="BG5" i="2" s="1"/>
  <c r="BE5" i="2"/>
  <c r="BI5" i="2" s="1"/>
  <c r="BF4" i="2"/>
  <c r="BG4" i="2" s="1"/>
  <c r="BE4" i="2"/>
  <c r="BI4" i="2" s="1"/>
  <c r="BI3" i="2"/>
  <c r="BF3" i="2"/>
  <c r="BG3" i="2" s="1"/>
  <c r="BG17" i="2" s="1"/>
  <c r="BI20" i="2" s="1"/>
  <c r="BE3" i="2"/>
  <c r="AK76" i="2"/>
  <c r="AL76" i="2" s="1"/>
  <c r="AJ76" i="2"/>
  <c r="AN76" i="2" s="1"/>
  <c r="AK75" i="2"/>
  <c r="AL75" i="2" s="1"/>
  <c r="AJ75" i="2"/>
  <c r="AN75" i="2" s="1"/>
  <c r="AK74" i="2"/>
  <c r="AL74" i="2" s="1"/>
  <c r="AJ74" i="2"/>
  <c r="AN74" i="2" s="1"/>
  <c r="AN73" i="2"/>
  <c r="AK73" i="2"/>
  <c r="AL73" i="2" s="1"/>
  <c r="AJ73" i="2"/>
  <c r="AK72" i="2"/>
  <c r="AL72" i="2" s="1"/>
  <c r="AJ72" i="2"/>
  <c r="AN72" i="2" s="1"/>
  <c r="AK71" i="2"/>
  <c r="AL71" i="2" s="1"/>
  <c r="AJ71" i="2"/>
  <c r="AN71" i="2" s="1"/>
  <c r="AN70" i="2"/>
  <c r="AK70" i="2"/>
  <c r="AL70" i="2" s="1"/>
  <c r="AJ70" i="2"/>
  <c r="AK69" i="2"/>
  <c r="AL69" i="2" s="1"/>
  <c r="AJ69" i="2"/>
  <c r="AN69" i="2" s="1"/>
  <c r="AK68" i="2"/>
  <c r="AL68" i="2" s="1"/>
  <c r="AJ68" i="2"/>
  <c r="AN68" i="2" s="1"/>
  <c r="AL67" i="2"/>
  <c r="AK67" i="2"/>
  <c r="AJ67" i="2"/>
  <c r="AN67" i="2" s="1"/>
  <c r="AK66" i="2"/>
  <c r="AL66" i="2" s="1"/>
  <c r="AJ66" i="2"/>
  <c r="AN66" i="2" s="1"/>
  <c r="AN65" i="2"/>
  <c r="AK65" i="2"/>
  <c r="AL65" i="2" s="1"/>
  <c r="AJ65" i="2"/>
  <c r="AK64" i="2"/>
  <c r="AL64" i="2" s="1"/>
  <c r="AJ64" i="2"/>
  <c r="AN64" i="2" s="1"/>
  <c r="AK54" i="2"/>
  <c r="AL54" i="2" s="1"/>
  <c r="AJ54" i="2"/>
  <c r="AN54" i="2" s="1"/>
  <c r="AK53" i="2"/>
  <c r="AL53" i="2" s="1"/>
  <c r="AJ53" i="2"/>
  <c r="AN53" i="2" s="1"/>
  <c r="AL52" i="2"/>
  <c r="AK52" i="2"/>
  <c r="AJ52" i="2"/>
  <c r="AN52" i="2" s="1"/>
  <c r="AK51" i="2"/>
  <c r="AL51" i="2" s="1"/>
  <c r="AJ51" i="2"/>
  <c r="AN51" i="2" s="1"/>
  <c r="AK50" i="2"/>
  <c r="AL50" i="2" s="1"/>
  <c r="AJ50" i="2"/>
  <c r="AN50" i="2" s="1"/>
  <c r="AN49" i="2"/>
  <c r="AK49" i="2"/>
  <c r="AL49" i="2" s="1"/>
  <c r="AJ49" i="2"/>
  <c r="AN48" i="2"/>
  <c r="AK48" i="2"/>
  <c r="AL48" i="2" s="1"/>
  <c r="AJ48" i="2"/>
  <c r="AK47" i="2"/>
  <c r="AL47" i="2" s="1"/>
  <c r="AJ47" i="2"/>
  <c r="AN47" i="2" s="1"/>
  <c r="AN46" i="2"/>
  <c r="AL46" i="2"/>
  <c r="AK46" i="2"/>
  <c r="AJ46" i="2"/>
  <c r="AL45" i="2"/>
  <c r="AK45" i="2"/>
  <c r="AJ45" i="2"/>
  <c r="AN45" i="2" s="1"/>
  <c r="AK44" i="2"/>
  <c r="AL44" i="2" s="1"/>
  <c r="AJ44" i="2"/>
  <c r="AN44" i="2" s="1"/>
  <c r="AN43" i="2"/>
  <c r="AK43" i="2"/>
  <c r="AL43" i="2" s="1"/>
  <c r="AJ43" i="2"/>
  <c r="AK42" i="2"/>
  <c r="AL42" i="2" s="1"/>
  <c r="AJ42" i="2"/>
  <c r="AN42" i="2" s="1"/>
  <c r="AN41" i="2"/>
  <c r="AK41" i="2"/>
  <c r="AL41" i="2" s="1"/>
  <c r="AJ41" i="2"/>
  <c r="AK40" i="2"/>
  <c r="AL40" i="2" s="1"/>
  <c r="AJ40" i="2"/>
  <c r="AN40" i="2" s="1"/>
  <c r="AK39" i="2"/>
  <c r="AL39" i="2" s="1"/>
  <c r="AJ39" i="2"/>
  <c r="AN39" i="2" s="1"/>
  <c r="AL38" i="2"/>
  <c r="AL56" i="2" s="1"/>
  <c r="AN59" i="2" s="1"/>
  <c r="AK38" i="2"/>
  <c r="AJ38" i="2"/>
  <c r="AN38" i="2" s="1"/>
  <c r="AN56" i="2" s="1"/>
  <c r="AN58" i="2" s="1"/>
  <c r="AL30" i="2"/>
  <c r="AN33" i="2" s="1"/>
  <c r="AK28" i="2"/>
  <c r="AL28" i="2" s="1"/>
  <c r="AJ28" i="2"/>
  <c r="AN28" i="2" s="1"/>
  <c r="AK27" i="2"/>
  <c r="AL27" i="2" s="1"/>
  <c r="AJ27" i="2"/>
  <c r="AN27" i="2" s="1"/>
  <c r="AK26" i="2"/>
  <c r="AL26" i="2" s="1"/>
  <c r="AJ26" i="2"/>
  <c r="AN26" i="2" s="1"/>
  <c r="AK25" i="2"/>
  <c r="AL25" i="2" s="1"/>
  <c r="AJ25" i="2"/>
  <c r="AN25" i="2" s="1"/>
  <c r="AN30" i="2" s="1"/>
  <c r="AN32" i="2" s="1"/>
  <c r="AK15" i="2"/>
  <c r="AL15" i="2" s="1"/>
  <c r="AJ15" i="2"/>
  <c r="AN15" i="2" s="1"/>
  <c r="AK14" i="2"/>
  <c r="AL14" i="2" s="1"/>
  <c r="AJ14" i="2"/>
  <c r="AN14" i="2" s="1"/>
  <c r="AN13" i="2"/>
  <c r="AK13" i="2"/>
  <c r="AL13" i="2" s="1"/>
  <c r="AJ13" i="2"/>
  <c r="AK12" i="2"/>
  <c r="AL12" i="2" s="1"/>
  <c r="AJ12" i="2"/>
  <c r="AN12" i="2" s="1"/>
  <c r="AK11" i="2"/>
  <c r="AL11" i="2" s="1"/>
  <c r="AJ11" i="2"/>
  <c r="AN11" i="2" s="1"/>
  <c r="AK10" i="2"/>
  <c r="AL10" i="2" s="1"/>
  <c r="AJ10" i="2"/>
  <c r="AN10" i="2" s="1"/>
  <c r="AK9" i="2"/>
  <c r="AL9" i="2" s="1"/>
  <c r="AJ9" i="2"/>
  <c r="AN9" i="2" s="1"/>
  <c r="AK8" i="2"/>
  <c r="AL8" i="2" s="1"/>
  <c r="AJ8" i="2"/>
  <c r="AN8" i="2" s="1"/>
  <c r="AK7" i="2"/>
  <c r="AL7" i="2" s="1"/>
  <c r="AJ7" i="2"/>
  <c r="AN7" i="2" s="1"/>
  <c r="AN6" i="2"/>
  <c r="AK6" i="2"/>
  <c r="AL6" i="2" s="1"/>
  <c r="AJ6" i="2"/>
  <c r="AK5" i="2"/>
  <c r="AL5" i="2" s="1"/>
  <c r="AJ5" i="2"/>
  <c r="AN5" i="2" s="1"/>
  <c r="AK4" i="2"/>
  <c r="AL4" i="2" s="1"/>
  <c r="AJ4" i="2"/>
  <c r="AN4" i="2" s="1"/>
  <c r="AK3" i="2"/>
  <c r="AL3" i="2" s="1"/>
  <c r="AL17" i="2" s="1"/>
  <c r="AN20" i="2" s="1"/>
  <c r="AJ3" i="2"/>
  <c r="AN3" i="2" s="1"/>
  <c r="AN17" i="2" s="1"/>
  <c r="AN19" i="2" s="1"/>
  <c r="T70" i="2"/>
  <c r="U70" i="2" s="1"/>
  <c r="S70" i="2"/>
  <c r="W70" i="2" s="1"/>
  <c r="T69" i="2"/>
  <c r="U69" i="2" s="1"/>
  <c r="S69" i="2"/>
  <c r="W69" i="2" s="1"/>
  <c r="U68" i="2"/>
  <c r="T68" i="2"/>
  <c r="S68" i="2"/>
  <c r="W68" i="2" s="1"/>
  <c r="T67" i="2"/>
  <c r="U67" i="2" s="1"/>
  <c r="S67" i="2"/>
  <c r="W67" i="2" s="1"/>
  <c r="W66" i="2"/>
  <c r="U66" i="2"/>
  <c r="T66" i="2"/>
  <c r="S66" i="2"/>
  <c r="U65" i="2"/>
  <c r="T65" i="2"/>
  <c r="S65" i="2"/>
  <c r="W65" i="2" s="1"/>
  <c r="T64" i="2"/>
  <c r="U64" i="2" s="1"/>
  <c r="S64" i="2"/>
  <c r="W64" i="2" s="1"/>
  <c r="T63" i="2"/>
  <c r="U63" i="2" s="1"/>
  <c r="S63" i="2"/>
  <c r="W63" i="2" s="1"/>
  <c r="U62" i="2"/>
  <c r="T62" i="2"/>
  <c r="S62" i="2"/>
  <c r="W62" i="2" s="1"/>
  <c r="W61" i="2"/>
  <c r="T61" i="2"/>
  <c r="U61" i="2" s="1"/>
  <c r="S61" i="2"/>
  <c r="T60" i="2"/>
  <c r="U60" i="2" s="1"/>
  <c r="S60" i="2"/>
  <c r="W60" i="2" s="1"/>
  <c r="W72" i="2" s="1"/>
  <c r="W74" i="2" s="1"/>
  <c r="T48" i="2"/>
  <c r="U48" i="2" s="1"/>
  <c r="S48" i="2"/>
  <c r="W48" i="2" s="1"/>
  <c r="T47" i="2"/>
  <c r="U47" i="2" s="1"/>
  <c r="S47" i="2"/>
  <c r="W47" i="2" s="1"/>
  <c r="W46" i="2"/>
  <c r="T46" i="2"/>
  <c r="U46" i="2" s="1"/>
  <c r="S46" i="2"/>
  <c r="T45" i="2"/>
  <c r="U45" i="2" s="1"/>
  <c r="S45" i="2"/>
  <c r="W45" i="2" s="1"/>
  <c r="W44" i="2"/>
  <c r="T44" i="2"/>
  <c r="U44" i="2" s="1"/>
  <c r="S44" i="2"/>
  <c r="T43" i="2"/>
  <c r="U43" i="2" s="1"/>
  <c r="S43" i="2"/>
  <c r="W43" i="2" s="1"/>
  <c r="T42" i="2"/>
  <c r="U42" i="2" s="1"/>
  <c r="S42" i="2"/>
  <c r="W42" i="2" s="1"/>
  <c r="T41" i="2"/>
  <c r="U41" i="2" s="1"/>
  <c r="S41" i="2"/>
  <c r="W41" i="2" s="1"/>
  <c r="T40" i="2"/>
  <c r="U40" i="2" s="1"/>
  <c r="S40" i="2"/>
  <c r="W40" i="2" s="1"/>
  <c r="T39" i="2"/>
  <c r="U39" i="2" s="1"/>
  <c r="S39" i="2"/>
  <c r="W39" i="2" s="1"/>
  <c r="T38" i="2"/>
  <c r="U38" i="2" s="1"/>
  <c r="S38" i="2"/>
  <c r="W38" i="2" s="1"/>
  <c r="T37" i="2"/>
  <c r="U37" i="2" s="1"/>
  <c r="S37" i="2"/>
  <c r="W37" i="2" s="1"/>
  <c r="T36" i="2"/>
  <c r="U36" i="2" s="1"/>
  <c r="S36" i="2"/>
  <c r="W36" i="2" s="1"/>
  <c r="T35" i="2"/>
  <c r="U35" i="2" s="1"/>
  <c r="S35" i="2"/>
  <c r="W35" i="2" s="1"/>
  <c r="T25" i="2"/>
  <c r="U25" i="2" s="1"/>
  <c r="S25" i="2"/>
  <c r="W25" i="2" s="1"/>
  <c r="T24" i="2"/>
  <c r="U24" i="2" s="1"/>
  <c r="S24" i="2"/>
  <c r="W24" i="2" s="1"/>
  <c r="T23" i="2"/>
  <c r="U23" i="2" s="1"/>
  <c r="U27" i="2" s="1"/>
  <c r="W30" i="2" s="1"/>
  <c r="S23" i="2"/>
  <c r="W23" i="2" s="1"/>
  <c r="W27" i="2" s="1"/>
  <c r="W29" i="2" s="1"/>
  <c r="T22" i="2"/>
  <c r="U22" i="2" s="1"/>
  <c r="S22" i="2"/>
  <c r="W22" i="2" s="1"/>
  <c r="T12" i="2"/>
  <c r="U12" i="2" s="1"/>
  <c r="S12" i="2"/>
  <c r="W12" i="2" s="1"/>
  <c r="T11" i="2"/>
  <c r="U11" i="2" s="1"/>
  <c r="S11" i="2"/>
  <c r="W11" i="2" s="1"/>
  <c r="T10" i="2"/>
  <c r="U10" i="2" s="1"/>
  <c r="S10" i="2"/>
  <c r="W10" i="2" s="1"/>
  <c r="T9" i="2"/>
  <c r="U9" i="2" s="1"/>
  <c r="S9" i="2"/>
  <c r="W9" i="2" s="1"/>
  <c r="T8" i="2"/>
  <c r="U8" i="2" s="1"/>
  <c r="S8" i="2"/>
  <c r="W8" i="2" s="1"/>
  <c r="T7" i="2"/>
  <c r="U7" i="2" s="1"/>
  <c r="S7" i="2"/>
  <c r="W7" i="2" s="1"/>
  <c r="T6" i="2"/>
  <c r="U6" i="2" s="1"/>
  <c r="U14" i="2" s="1"/>
  <c r="W17" i="2" s="1"/>
  <c r="S6" i="2"/>
  <c r="W6" i="2" s="1"/>
  <c r="T5" i="2"/>
  <c r="U5" i="2" s="1"/>
  <c r="S5" i="2"/>
  <c r="W5" i="2" s="1"/>
  <c r="T4" i="2"/>
  <c r="U4" i="2" s="1"/>
  <c r="S4" i="2"/>
  <c r="W4" i="2" s="1"/>
  <c r="T3" i="2"/>
  <c r="U3" i="2" s="1"/>
  <c r="S3" i="2"/>
  <c r="W3" i="2" s="1"/>
  <c r="BF87" i="1"/>
  <c r="BG87" i="1" s="1"/>
  <c r="BE87" i="1"/>
  <c r="BI87" i="1" s="1"/>
  <c r="BG86" i="1"/>
  <c r="BF86" i="1"/>
  <c r="BE86" i="1"/>
  <c r="BI86" i="1" s="1"/>
  <c r="BF85" i="1"/>
  <c r="BG85" i="1" s="1"/>
  <c r="BE85" i="1"/>
  <c r="BI85" i="1" s="1"/>
  <c r="BI84" i="1"/>
  <c r="BF84" i="1"/>
  <c r="BG84" i="1" s="1"/>
  <c r="BE84" i="1"/>
  <c r="BI83" i="1"/>
  <c r="BF83" i="1"/>
  <c r="BG83" i="1" s="1"/>
  <c r="BE83" i="1"/>
  <c r="BF82" i="1"/>
  <c r="BG82" i="1" s="1"/>
  <c r="BE82" i="1"/>
  <c r="BI82" i="1" s="1"/>
  <c r="BF81" i="1"/>
  <c r="BG81" i="1" s="1"/>
  <c r="BE81" i="1"/>
  <c r="BI81" i="1" s="1"/>
  <c r="BF80" i="1"/>
  <c r="BG80" i="1" s="1"/>
  <c r="BE80" i="1"/>
  <c r="BI80" i="1" s="1"/>
  <c r="BG79" i="1"/>
  <c r="BF79" i="1"/>
  <c r="BE79" i="1"/>
  <c r="BI79" i="1" s="1"/>
  <c r="BF78" i="1"/>
  <c r="BG78" i="1" s="1"/>
  <c r="BE78" i="1"/>
  <c r="BI78" i="1" s="1"/>
  <c r="BF77" i="1"/>
  <c r="BG77" i="1" s="1"/>
  <c r="BE77" i="1"/>
  <c r="BI77" i="1" s="1"/>
  <c r="BF76" i="1"/>
  <c r="BG76" i="1" s="1"/>
  <c r="BE76" i="1"/>
  <c r="BI76" i="1" s="1"/>
  <c r="BI75" i="1"/>
  <c r="BF75" i="1"/>
  <c r="BG75" i="1" s="1"/>
  <c r="BE75" i="1"/>
  <c r="BF74" i="1"/>
  <c r="BG74" i="1" s="1"/>
  <c r="BE74" i="1"/>
  <c r="BI74" i="1" s="1"/>
  <c r="BF73" i="1"/>
  <c r="BG73" i="1" s="1"/>
  <c r="BG89" i="1" s="1"/>
  <c r="BI92" i="1" s="1"/>
  <c r="BE73" i="1"/>
  <c r="BI73" i="1" s="1"/>
  <c r="BF72" i="1"/>
  <c r="BG72" i="1" s="1"/>
  <c r="BE72" i="1"/>
  <c r="BI72" i="1" s="1"/>
  <c r="BF71" i="1"/>
  <c r="BG71" i="1" s="1"/>
  <c r="BE71" i="1"/>
  <c r="BI71" i="1" s="1"/>
  <c r="BF70" i="1"/>
  <c r="BG70" i="1" s="1"/>
  <c r="BE70" i="1"/>
  <c r="BI70" i="1" s="1"/>
  <c r="BF60" i="1"/>
  <c r="BG60" i="1" s="1"/>
  <c r="BE60" i="1"/>
  <c r="BI60" i="1" s="1"/>
  <c r="BF59" i="1"/>
  <c r="BG59" i="1" s="1"/>
  <c r="BE59" i="1"/>
  <c r="BI59" i="1" s="1"/>
  <c r="BF58" i="1"/>
  <c r="BG58" i="1" s="1"/>
  <c r="BE58" i="1"/>
  <c r="BI58" i="1" s="1"/>
  <c r="BF57" i="1"/>
  <c r="BG57" i="1" s="1"/>
  <c r="BE57" i="1"/>
  <c r="BI57" i="1" s="1"/>
  <c r="BF56" i="1"/>
  <c r="BG56" i="1" s="1"/>
  <c r="BE56" i="1"/>
  <c r="BI56" i="1" s="1"/>
  <c r="BF55" i="1"/>
  <c r="BG55" i="1" s="1"/>
  <c r="BE55" i="1"/>
  <c r="BI55" i="1" s="1"/>
  <c r="BF54" i="1"/>
  <c r="BG54" i="1" s="1"/>
  <c r="BE54" i="1"/>
  <c r="BI54" i="1" s="1"/>
  <c r="BF53" i="1"/>
  <c r="BG53" i="1" s="1"/>
  <c r="BE53" i="1"/>
  <c r="BI53" i="1" s="1"/>
  <c r="BF52" i="1"/>
  <c r="BG52" i="1" s="1"/>
  <c r="BE52" i="1"/>
  <c r="BI52" i="1" s="1"/>
  <c r="BF51" i="1"/>
  <c r="BG51" i="1" s="1"/>
  <c r="BE51" i="1"/>
  <c r="BI51" i="1" s="1"/>
  <c r="BF50" i="1"/>
  <c r="BG50" i="1" s="1"/>
  <c r="BE50" i="1"/>
  <c r="BI50" i="1" s="1"/>
  <c r="BF49" i="1"/>
  <c r="BG49" i="1" s="1"/>
  <c r="BE49" i="1"/>
  <c r="BI49" i="1" s="1"/>
  <c r="BF48" i="1"/>
  <c r="BG48" i="1" s="1"/>
  <c r="BE48" i="1"/>
  <c r="BI48" i="1" s="1"/>
  <c r="BF47" i="1"/>
  <c r="BG47" i="1" s="1"/>
  <c r="BE47" i="1"/>
  <c r="BI47" i="1" s="1"/>
  <c r="BF46" i="1"/>
  <c r="BG46" i="1" s="1"/>
  <c r="BE46" i="1"/>
  <c r="BI46" i="1" s="1"/>
  <c r="BF45" i="1"/>
  <c r="BG45" i="1" s="1"/>
  <c r="BE45" i="1"/>
  <c r="BI45" i="1" s="1"/>
  <c r="BF44" i="1"/>
  <c r="BG44" i="1" s="1"/>
  <c r="BE44" i="1"/>
  <c r="BI44" i="1" s="1"/>
  <c r="BF43" i="1"/>
  <c r="BG43" i="1" s="1"/>
  <c r="BE43" i="1"/>
  <c r="BI43" i="1" s="1"/>
  <c r="BF42" i="1"/>
  <c r="BG42" i="1" s="1"/>
  <c r="BE42" i="1"/>
  <c r="BI42" i="1" s="1"/>
  <c r="BF41" i="1"/>
  <c r="BG41" i="1" s="1"/>
  <c r="BE41" i="1"/>
  <c r="BI41" i="1" s="1"/>
  <c r="BF40" i="1"/>
  <c r="BG40" i="1" s="1"/>
  <c r="BE40" i="1"/>
  <c r="BI40" i="1" s="1"/>
  <c r="BI62" i="1" s="1"/>
  <c r="BI64" i="1" s="1"/>
  <c r="BF39" i="1"/>
  <c r="BG39" i="1" s="1"/>
  <c r="BG62" i="1" s="1"/>
  <c r="BI65" i="1" s="1"/>
  <c r="BE39" i="1"/>
  <c r="BI39" i="1" s="1"/>
  <c r="BF31" i="1"/>
  <c r="BG31" i="1" s="1"/>
  <c r="BE31" i="1"/>
  <c r="BI31" i="1" s="1"/>
  <c r="BF30" i="1"/>
  <c r="BG30" i="1" s="1"/>
  <c r="BE30" i="1"/>
  <c r="BI30" i="1" s="1"/>
  <c r="BF29" i="1"/>
  <c r="BG29" i="1" s="1"/>
  <c r="BE29" i="1"/>
  <c r="BI29" i="1" s="1"/>
  <c r="BF28" i="1"/>
  <c r="BG28" i="1" s="1"/>
  <c r="BE28" i="1"/>
  <c r="BI28" i="1" s="1"/>
  <c r="BF27" i="1"/>
  <c r="BG27" i="1" s="1"/>
  <c r="BE27" i="1"/>
  <c r="BI27" i="1" s="1"/>
  <c r="BF26" i="1"/>
  <c r="BG26" i="1" s="1"/>
  <c r="BG33" i="1" s="1"/>
  <c r="BI36" i="1" s="1"/>
  <c r="BE26" i="1"/>
  <c r="BI26" i="1" s="1"/>
  <c r="BI33" i="1" s="1"/>
  <c r="BI35" i="1" s="1"/>
  <c r="BF16" i="1"/>
  <c r="BG16" i="1" s="1"/>
  <c r="BE16" i="1"/>
  <c r="BI16" i="1" s="1"/>
  <c r="AJ16" i="1"/>
  <c r="BF18" i="1"/>
  <c r="BG18" i="1" s="1"/>
  <c r="BE18" i="1"/>
  <c r="BI18" i="1" s="1"/>
  <c r="BF17" i="1"/>
  <c r="BG17" i="1" s="1"/>
  <c r="BE17" i="1"/>
  <c r="BI17" i="1" s="1"/>
  <c r="BF15" i="1"/>
  <c r="BG15" i="1" s="1"/>
  <c r="BE15" i="1"/>
  <c r="BI15" i="1" s="1"/>
  <c r="BF14" i="1"/>
  <c r="BG14" i="1" s="1"/>
  <c r="BE14" i="1"/>
  <c r="BI14" i="1" s="1"/>
  <c r="BF13" i="1"/>
  <c r="BG13" i="1" s="1"/>
  <c r="BE13" i="1"/>
  <c r="BI13" i="1" s="1"/>
  <c r="BF12" i="1"/>
  <c r="BG12" i="1" s="1"/>
  <c r="BE12" i="1"/>
  <c r="BI12" i="1" s="1"/>
  <c r="BF11" i="1"/>
  <c r="BG11" i="1" s="1"/>
  <c r="BE11" i="1"/>
  <c r="BI11" i="1" s="1"/>
  <c r="BF10" i="1"/>
  <c r="BG10" i="1" s="1"/>
  <c r="BE10" i="1"/>
  <c r="BI10" i="1" s="1"/>
  <c r="BF9" i="1"/>
  <c r="BG9" i="1" s="1"/>
  <c r="BE9" i="1"/>
  <c r="BI9" i="1" s="1"/>
  <c r="BF8" i="1"/>
  <c r="BG8" i="1" s="1"/>
  <c r="BE8" i="1"/>
  <c r="BI8" i="1" s="1"/>
  <c r="BF7" i="1"/>
  <c r="BG7" i="1" s="1"/>
  <c r="BE7" i="1"/>
  <c r="BI7" i="1" s="1"/>
  <c r="BF6" i="1"/>
  <c r="BG6" i="1" s="1"/>
  <c r="BE6" i="1"/>
  <c r="BI6" i="1" s="1"/>
  <c r="BF5" i="1"/>
  <c r="BG5" i="1" s="1"/>
  <c r="BE5" i="1"/>
  <c r="BI5" i="1" s="1"/>
  <c r="BF4" i="1"/>
  <c r="BG4" i="1" s="1"/>
  <c r="BE4" i="1"/>
  <c r="BI4" i="1" s="1"/>
  <c r="BF3" i="1"/>
  <c r="BG3" i="1" s="1"/>
  <c r="BE3" i="1"/>
  <c r="BI3" i="1" s="1"/>
  <c r="BI20" i="1" s="1"/>
  <c r="BI22" i="1" s="1"/>
  <c r="AK87" i="1"/>
  <c r="AL87" i="1" s="1"/>
  <c r="AJ87" i="1"/>
  <c r="AN87" i="1" s="1"/>
  <c r="AK86" i="1"/>
  <c r="AL86" i="1" s="1"/>
  <c r="AJ86" i="1"/>
  <c r="AN86" i="1" s="1"/>
  <c r="AK85" i="1"/>
  <c r="AL85" i="1" s="1"/>
  <c r="AJ85" i="1"/>
  <c r="AN85" i="1" s="1"/>
  <c r="AK84" i="1"/>
  <c r="AL84" i="1" s="1"/>
  <c r="AJ84" i="1"/>
  <c r="AN84" i="1" s="1"/>
  <c r="AK83" i="1"/>
  <c r="AL83" i="1" s="1"/>
  <c r="AJ83" i="1"/>
  <c r="AN83" i="1" s="1"/>
  <c r="AK82" i="1"/>
  <c r="AL82" i="1" s="1"/>
  <c r="AJ82" i="1"/>
  <c r="AN82" i="1" s="1"/>
  <c r="AK81" i="1"/>
  <c r="AL81" i="1" s="1"/>
  <c r="AJ81" i="1"/>
  <c r="AN81" i="1" s="1"/>
  <c r="AK80" i="1"/>
  <c r="AL80" i="1" s="1"/>
  <c r="AJ80" i="1"/>
  <c r="AN80" i="1" s="1"/>
  <c r="AN79" i="1"/>
  <c r="AL79" i="1"/>
  <c r="AK79" i="1"/>
  <c r="AJ79" i="1"/>
  <c r="AK78" i="1"/>
  <c r="AL78" i="1" s="1"/>
  <c r="AJ78" i="1"/>
  <c r="AN78" i="1" s="1"/>
  <c r="AK77" i="1"/>
  <c r="AL77" i="1" s="1"/>
  <c r="AJ77" i="1"/>
  <c r="AN77" i="1" s="1"/>
  <c r="AK76" i="1"/>
  <c r="AL76" i="1" s="1"/>
  <c r="AJ76" i="1"/>
  <c r="AN76" i="1" s="1"/>
  <c r="AN75" i="1"/>
  <c r="AK75" i="1"/>
  <c r="AL75" i="1" s="1"/>
  <c r="AJ75" i="1"/>
  <c r="AK74" i="1"/>
  <c r="AL74" i="1" s="1"/>
  <c r="AJ74" i="1"/>
  <c r="AN74" i="1" s="1"/>
  <c r="AK73" i="1"/>
  <c r="AL73" i="1" s="1"/>
  <c r="AJ73" i="1"/>
  <c r="AN73" i="1" s="1"/>
  <c r="AK72" i="1"/>
  <c r="AL72" i="1" s="1"/>
  <c r="AJ72" i="1"/>
  <c r="AN72" i="1" s="1"/>
  <c r="AK71" i="1"/>
  <c r="AL71" i="1" s="1"/>
  <c r="AJ71" i="1"/>
  <c r="AN71" i="1" s="1"/>
  <c r="AK70" i="1"/>
  <c r="AL70" i="1" s="1"/>
  <c r="AJ70" i="1"/>
  <c r="AN70" i="1" s="1"/>
  <c r="AK61" i="1"/>
  <c r="AL61" i="1" s="1"/>
  <c r="AJ61" i="1"/>
  <c r="AN61" i="1" s="1"/>
  <c r="AL60" i="1"/>
  <c r="AK60" i="1"/>
  <c r="AJ60" i="1"/>
  <c r="AN60" i="1" s="1"/>
  <c r="AK59" i="1"/>
  <c r="AL59" i="1" s="1"/>
  <c r="AJ59" i="1"/>
  <c r="AN59" i="1" s="1"/>
  <c r="AK58" i="1"/>
  <c r="AL58" i="1" s="1"/>
  <c r="AJ58" i="1"/>
  <c r="AN58" i="1" s="1"/>
  <c r="AK57" i="1"/>
  <c r="AL57" i="1" s="1"/>
  <c r="AJ57" i="1"/>
  <c r="AN57" i="1" s="1"/>
  <c r="AK56" i="1"/>
  <c r="AL56" i="1" s="1"/>
  <c r="AJ56" i="1"/>
  <c r="AN56" i="1" s="1"/>
  <c r="AK55" i="1"/>
  <c r="AL55" i="1" s="1"/>
  <c r="AJ55" i="1"/>
  <c r="AN55" i="1" s="1"/>
  <c r="AK54" i="1"/>
  <c r="AL54" i="1" s="1"/>
  <c r="AJ54" i="1"/>
  <c r="AN54" i="1" s="1"/>
  <c r="AK53" i="1"/>
  <c r="AL53" i="1" s="1"/>
  <c r="AJ53" i="1"/>
  <c r="AN53" i="1" s="1"/>
  <c r="AK52" i="1"/>
  <c r="AL52" i="1" s="1"/>
  <c r="AJ52" i="1"/>
  <c r="AN52" i="1" s="1"/>
  <c r="AK51" i="1"/>
  <c r="AL51" i="1" s="1"/>
  <c r="AJ51" i="1"/>
  <c r="AN51" i="1" s="1"/>
  <c r="AK50" i="1"/>
  <c r="AL50" i="1" s="1"/>
  <c r="AJ50" i="1"/>
  <c r="AN50" i="1" s="1"/>
  <c r="AK49" i="1"/>
  <c r="AL49" i="1" s="1"/>
  <c r="AJ49" i="1"/>
  <c r="AN49" i="1" s="1"/>
  <c r="AK48" i="1"/>
  <c r="AL48" i="1" s="1"/>
  <c r="AJ48" i="1"/>
  <c r="AN48" i="1" s="1"/>
  <c r="AK47" i="1"/>
  <c r="AL47" i="1" s="1"/>
  <c r="AJ47" i="1"/>
  <c r="AN47" i="1" s="1"/>
  <c r="AK46" i="1"/>
  <c r="AL46" i="1" s="1"/>
  <c r="AJ46" i="1"/>
  <c r="AN46" i="1" s="1"/>
  <c r="AK45" i="1"/>
  <c r="AL45" i="1" s="1"/>
  <c r="AJ45" i="1"/>
  <c r="AN45" i="1" s="1"/>
  <c r="AK44" i="1"/>
  <c r="AL44" i="1" s="1"/>
  <c r="AJ44" i="1"/>
  <c r="AN44" i="1" s="1"/>
  <c r="AK43" i="1"/>
  <c r="AL43" i="1" s="1"/>
  <c r="AJ43" i="1"/>
  <c r="AN43" i="1" s="1"/>
  <c r="AK42" i="1"/>
  <c r="AL42" i="1" s="1"/>
  <c r="AJ42" i="1"/>
  <c r="AN42" i="1" s="1"/>
  <c r="AK41" i="1"/>
  <c r="AL41" i="1" s="1"/>
  <c r="AJ41" i="1"/>
  <c r="AN41" i="1" s="1"/>
  <c r="AK40" i="1"/>
  <c r="AL40" i="1" s="1"/>
  <c r="AJ40" i="1"/>
  <c r="AN40" i="1" s="1"/>
  <c r="AK31" i="1"/>
  <c r="AL31" i="1" s="1"/>
  <c r="AJ31" i="1"/>
  <c r="AN31" i="1" s="1"/>
  <c r="AK30" i="1"/>
  <c r="AL30" i="1" s="1"/>
  <c r="AJ30" i="1"/>
  <c r="AN30" i="1" s="1"/>
  <c r="AK29" i="1"/>
  <c r="AL29" i="1" s="1"/>
  <c r="AJ29" i="1"/>
  <c r="AN29" i="1" s="1"/>
  <c r="AK28" i="1"/>
  <c r="AL28" i="1" s="1"/>
  <c r="AJ28" i="1"/>
  <c r="AN28" i="1" s="1"/>
  <c r="AK27" i="1"/>
  <c r="AL27" i="1" s="1"/>
  <c r="AJ27" i="1"/>
  <c r="AN27" i="1" s="1"/>
  <c r="AK26" i="1"/>
  <c r="AL26" i="1" s="1"/>
  <c r="AJ26" i="1"/>
  <c r="AN26" i="1" s="1"/>
  <c r="AK18" i="1"/>
  <c r="AL18" i="1" s="1"/>
  <c r="AJ18" i="1"/>
  <c r="AN18" i="1" s="1"/>
  <c r="AK17" i="1"/>
  <c r="AL17" i="1" s="1"/>
  <c r="AJ17" i="1"/>
  <c r="AN17" i="1" s="1"/>
  <c r="AN16" i="1"/>
  <c r="AK16" i="1"/>
  <c r="AL16" i="1" s="1"/>
  <c r="AK15" i="1"/>
  <c r="AL15" i="1" s="1"/>
  <c r="AJ15" i="1"/>
  <c r="AN15" i="1" s="1"/>
  <c r="AK14" i="1"/>
  <c r="AL14" i="1" s="1"/>
  <c r="AJ14" i="1"/>
  <c r="AN14" i="1" s="1"/>
  <c r="AN13" i="1"/>
  <c r="AL13" i="1"/>
  <c r="AK13" i="1"/>
  <c r="AJ13" i="1"/>
  <c r="AK12" i="1"/>
  <c r="AL12" i="1" s="1"/>
  <c r="AJ12" i="1"/>
  <c r="AN12" i="1" s="1"/>
  <c r="AK11" i="1"/>
  <c r="AL11" i="1" s="1"/>
  <c r="AJ11" i="1"/>
  <c r="AN11" i="1" s="1"/>
  <c r="AK10" i="1"/>
  <c r="AL10" i="1" s="1"/>
  <c r="AJ10" i="1"/>
  <c r="AN10" i="1" s="1"/>
  <c r="AK9" i="1"/>
  <c r="AL9" i="1" s="1"/>
  <c r="AJ9" i="1"/>
  <c r="AN9" i="1" s="1"/>
  <c r="AK8" i="1"/>
  <c r="AL8" i="1" s="1"/>
  <c r="AJ8" i="1"/>
  <c r="AN8" i="1" s="1"/>
  <c r="AK7" i="1"/>
  <c r="AL7" i="1" s="1"/>
  <c r="AJ7" i="1"/>
  <c r="AN7" i="1" s="1"/>
  <c r="AN6" i="1"/>
  <c r="AK6" i="1"/>
  <c r="AL6" i="1" s="1"/>
  <c r="AJ6" i="1"/>
  <c r="AL5" i="1"/>
  <c r="AK5" i="1"/>
  <c r="AJ5" i="1"/>
  <c r="AN5" i="1" s="1"/>
  <c r="AK4" i="1"/>
  <c r="AL4" i="1" s="1"/>
  <c r="AJ4" i="1"/>
  <c r="AN4" i="1" s="1"/>
  <c r="AK3" i="1"/>
  <c r="AL3" i="1" s="1"/>
  <c r="AJ3" i="1"/>
  <c r="AN3" i="1" s="1"/>
  <c r="T65" i="1"/>
  <c r="U65" i="1" s="1"/>
  <c r="S65" i="1"/>
  <c r="W65" i="1" s="1"/>
  <c r="T64" i="1"/>
  <c r="U64" i="1" s="1"/>
  <c r="S64" i="1"/>
  <c r="W64" i="1" s="1"/>
  <c r="T63" i="1"/>
  <c r="U63" i="1" s="1"/>
  <c r="S63" i="1"/>
  <c r="W63" i="1" s="1"/>
  <c r="T62" i="1"/>
  <c r="U62" i="1" s="1"/>
  <c r="S62" i="1"/>
  <c r="W62" i="1" s="1"/>
  <c r="T61" i="1"/>
  <c r="U61" i="1" s="1"/>
  <c r="S61" i="1"/>
  <c r="W61" i="1" s="1"/>
  <c r="T60" i="1"/>
  <c r="U60" i="1" s="1"/>
  <c r="S60" i="1"/>
  <c r="W60" i="1" s="1"/>
  <c r="T59" i="1"/>
  <c r="U59" i="1" s="1"/>
  <c r="S59" i="1"/>
  <c r="W59" i="1" s="1"/>
  <c r="T58" i="1"/>
  <c r="U58" i="1" s="1"/>
  <c r="S58" i="1"/>
  <c r="W58" i="1" s="1"/>
  <c r="T57" i="1"/>
  <c r="U57" i="1" s="1"/>
  <c r="S57" i="1"/>
  <c r="W57" i="1" s="1"/>
  <c r="T56" i="1"/>
  <c r="U56" i="1" s="1"/>
  <c r="S56" i="1"/>
  <c r="W56" i="1" s="1"/>
  <c r="T55" i="1"/>
  <c r="U55" i="1" s="1"/>
  <c r="S55" i="1"/>
  <c r="W55" i="1" s="1"/>
  <c r="T54" i="1"/>
  <c r="U54" i="1" s="1"/>
  <c r="S54" i="1"/>
  <c r="W54" i="1" s="1"/>
  <c r="T45" i="1"/>
  <c r="U45" i="1" s="1"/>
  <c r="S45" i="1"/>
  <c r="W45" i="1" s="1"/>
  <c r="T44" i="1"/>
  <c r="U44" i="1" s="1"/>
  <c r="S44" i="1"/>
  <c r="W44" i="1" s="1"/>
  <c r="T43" i="1"/>
  <c r="U43" i="1" s="1"/>
  <c r="S43" i="1"/>
  <c r="W43" i="1" s="1"/>
  <c r="T42" i="1"/>
  <c r="U42" i="1" s="1"/>
  <c r="S42" i="1"/>
  <c r="W42" i="1" s="1"/>
  <c r="T41" i="1"/>
  <c r="U41" i="1" s="1"/>
  <c r="S41" i="1"/>
  <c r="W41" i="1" s="1"/>
  <c r="T40" i="1"/>
  <c r="U40" i="1" s="1"/>
  <c r="S40" i="1"/>
  <c r="W40" i="1" s="1"/>
  <c r="T39" i="1"/>
  <c r="U39" i="1" s="1"/>
  <c r="S39" i="1"/>
  <c r="W39" i="1" s="1"/>
  <c r="T38" i="1"/>
  <c r="U38" i="1" s="1"/>
  <c r="S38" i="1"/>
  <c r="W38" i="1" s="1"/>
  <c r="T37" i="1"/>
  <c r="U37" i="1" s="1"/>
  <c r="S37" i="1"/>
  <c r="W37" i="1" s="1"/>
  <c r="T36" i="1"/>
  <c r="U36" i="1" s="1"/>
  <c r="S36" i="1"/>
  <c r="W36" i="1" s="1"/>
  <c r="T35" i="1"/>
  <c r="U35" i="1" s="1"/>
  <c r="S35" i="1"/>
  <c r="W35" i="1" s="1"/>
  <c r="T34" i="1"/>
  <c r="U34" i="1" s="1"/>
  <c r="S34" i="1"/>
  <c r="W34" i="1" s="1"/>
  <c r="T33" i="1"/>
  <c r="U33" i="1" s="1"/>
  <c r="S33" i="1"/>
  <c r="W33" i="1" s="1"/>
  <c r="W32" i="1"/>
  <c r="T32" i="1"/>
  <c r="U32" i="1" s="1"/>
  <c r="S32" i="1"/>
  <c r="T24" i="1"/>
  <c r="U24" i="1" s="1"/>
  <c r="S24" i="1"/>
  <c r="W24" i="1" s="1"/>
  <c r="T23" i="1"/>
  <c r="U23" i="1" s="1"/>
  <c r="S23" i="1"/>
  <c r="W23" i="1" s="1"/>
  <c r="T22" i="1"/>
  <c r="U22" i="1" s="1"/>
  <c r="S22" i="1"/>
  <c r="W22" i="1" s="1"/>
  <c r="T21" i="1"/>
  <c r="U21" i="1" s="1"/>
  <c r="U26" i="1" s="1"/>
  <c r="W29" i="1" s="1"/>
  <c r="S21" i="1"/>
  <c r="W21" i="1" s="1"/>
  <c r="T12" i="1"/>
  <c r="U12" i="1" s="1"/>
  <c r="S12" i="1"/>
  <c r="W12" i="1" s="1"/>
  <c r="T11" i="1"/>
  <c r="U11" i="1" s="1"/>
  <c r="S11" i="1"/>
  <c r="W11" i="1" s="1"/>
  <c r="T10" i="1"/>
  <c r="U10" i="1" s="1"/>
  <c r="S10" i="1"/>
  <c r="W10" i="1" s="1"/>
  <c r="T9" i="1"/>
  <c r="U9" i="1" s="1"/>
  <c r="S9" i="1"/>
  <c r="W9" i="1" s="1"/>
  <c r="T8" i="1"/>
  <c r="U8" i="1" s="1"/>
  <c r="S8" i="1"/>
  <c r="W8" i="1" s="1"/>
  <c r="T7" i="1"/>
  <c r="U7" i="1" s="1"/>
  <c r="S7" i="1"/>
  <c r="W7" i="1" s="1"/>
  <c r="T6" i="1"/>
  <c r="U6" i="1" s="1"/>
  <c r="S6" i="1"/>
  <c r="W6" i="1" s="1"/>
  <c r="T5" i="1"/>
  <c r="U5" i="1" s="1"/>
  <c r="S5" i="1"/>
  <c r="W5" i="1" s="1"/>
  <c r="T4" i="1"/>
  <c r="U4" i="1" s="1"/>
  <c r="S4" i="1"/>
  <c r="W4" i="1" s="1"/>
  <c r="T3" i="1"/>
  <c r="U3" i="1" s="1"/>
  <c r="S3" i="1"/>
  <c r="W3" i="1" s="1"/>
  <c r="W50" i="2" l="1"/>
  <c r="W52" i="2" s="1"/>
  <c r="AN64" i="3"/>
  <c r="AN66" i="3" s="1"/>
  <c r="W71" i="3"/>
  <c r="W73" i="3" s="1"/>
  <c r="U15" i="3"/>
  <c r="W18" i="3" s="1"/>
  <c r="U71" i="3"/>
  <c r="W74" i="3" s="1"/>
  <c r="AE45" i="4"/>
  <c r="AG48" i="4" s="1"/>
  <c r="BI17" i="2"/>
  <c r="BI19" i="2" s="1"/>
  <c r="BG84" i="2"/>
  <c r="BI87" i="2" s="1"/>
  <c r="AL83" i="3"/>
  <c r="AN86" i="3" s="1"/>
  <c r="AG45" i="4"/>
  <c r="AG47" i="4" s="1"/>
  <c r="AL78" i="2"/>
  <c r="AN81" i="2" s="1"/>
  <c r="BI89" i="1"/>
  <c r="BI91" i="1" s="1"/>
  <c r="U50" i="2"/>
  <c r="W53" i="2" s="1"/>
  <c r="U72" i="2"/>
  <c r="W75" i="2" s="1"/>
  <c r="AN83" i="3"/>
  <c r="AN85" i="3" s="1"/>
  <c r="M62" i="4"/>
  <c r="O65" i="4" s="1"/>
  <c r="W14" i="2"/>
  <c r="W16" i="2" s="1"/>
  <c r="O62" i="4"/>
  <c r="O64" i="4" s="1"/>
  <c r="AN78" i="2"/>
  <c r="AN80" i="2" s="1"/>
  <c r="BG20" i="1"/>
  <c r="BI23" i="1" s="1"/>
  <c r="AN36" i="3"/>
  <c r="AN38" i="3" s="1"/>
  <c r="W14" i="1"/>
  <c r="W16" i="1" s="1"/>
  <c r="AN33" i="1"/>
  <c r="AN35" i="1" s="1"/>
  <c r="U14" i="1"/>
  <c r="W17" i="1" s="1"/>
  <c r="W67" i="1"/>
  <c r="W69" i="1" s="1"/>
  <c r="AL33" i="1"/>
  <c r="AN36" i="1" s="1"/>
  <c r="W26" i="1"/>
  <c r="W28" i="1" s="1"/>
  <c r="AN20" i="1"/>
  <c r="AN22" i="1" s="1"/>
  <c r="AL20" i="1"/>
  <c r="AN23" i="1" s="1"/>
  <c r="AL89" i="1"/>
  <c r="AN92" i="1" s="1"/>
  <c r="AN89" i="1"/>
  <c r="AN91" i="1" s="1"/>
  <c r="AL63" i="1"/>
  <c r="AN66" i="1" s="1"/>
  <c r="U67" i="1"/>
  <c r="W70" i="1" s="1"/>
  <c r="U47" i="1"/>
  <c r="W50" i="1" s="1"/>
  <c r="AN63" i="1"/>
  <c r="AN65" i="1" s="1"/>
  <c r="W47" i="1"/>
  <c r="W49" i="1" s="1"/>
</calcChain>
</file>

<file path=xl/sharedStrings.xml><?xml version="1.0" encoding="utf-8"?>
<sst xmlns="http://schemas.openxmlformats.org/spreadsheetml/2006/main" count="9887" uniqueCount="268">
  <si>
    <t>VRC01 Light Chain</t>
  </si>
  <si>
    <t>VRC01 Light Chain (PROC)</t>
  </si>
  <si>
    <t>∆∆G (Kcal/mol)</t>
  </si>
  <si>
    <t>VRC01 Heavy Chain</t>
  </si>
  <si>
    <t>Q27</t>
  </si>
  <si>
    <t>I30</t>
  </si>
  <si>
    <t>Y28</t>
  </si>
  <si>
    <t>T33</t>
  </si>
  <si>
    <t>S30</t>
  </si>
  <si>
    <t>W47</t>
  </si>
  <si>
    <t>Y91</t>
  </si>
  <si>
    <t>W50</t>
  </si>
  <si>
    <t>F97</t>
  </si>
  <si>
    <t>G54</t>
  </si>
  <si>
    <t>V3</t>
  </si>
  <si>
    <t>G55</t>
  </si>
  <si>
    <t>V57</t>
  </si>
  <si>
    <t>N58</t>
  </si>
  <si>
    <t>Y59</t>
  </si>
  <si>
    <t>Shown highlighted as below</t>
  </si>
  <si>
    <t>Q64</t>
  </si>
  <si>
    <t>Glycan Contact Residues</t>
  </si>
  <si>
    <t>M69</t>
  </si>
  <si>
    <t>V73</t>
  </si>
  <si>
    <t>Y100</t>
  </si>
  <si>
    <t>N100A</t>
  </si>
  <si>
    <t>W100B</t>
  </si>
  <si>
    <t>Y74</t>
  </si>
  <si>
    <t>Y373</t>
  </si>
  <si>
    <t>5 ns - Heavy Chain</t>
  </si>
  <si>
    <t>Time</t>
  </si>
  <si>
    <t>Chain</t>
  </si>
  <si>
    <t>Residue Number</t>
  </si>
  <si>
    <t>Mutation</t>
  </si>
  <si>
    <t>Alanine</t>
  </si>
  <si>
    <t>DG-Complex</t>
  </si>
  <si>
    <t>Uncertainty-Complex</t>
  </si>
  <si>
    <t>DG-Antibody</t>
  </si>
  <si>
    <t>Uncertainty-Antibody</t>
  </si>
  <si>
    <t>DDG</t>
  </si>
  <si>
    <t>Uncertainty</t>
  </si>
  <si>
    <t>Uncertainty^2</t>
  </si>
  <si>
    <t>Database</t>
  </si>
  <si>
    <t>Squared Error</t>
  </si>
  <si>
    <t>Convergence Status</t>
  </si>
  <si>
    <t>5 ns</t>
  </si>
  <si>
    <t>Heavy Chain</t>
  </si>
  <si>
    <t>I328</t>
  </si>
  <si>
    <t>T331</t>
  </si>
  <si>
    <t>G353</t>
  </si>
  <si>
    <t>G354</t>
  </si>
  <si>
    <t>V356</t>
  </si>
  <si>
    <t>N357</t>
  </si>
  <si>
    <t>Q363</t>
  </si>
  <si>
    <t>M368</t>
  </si>
  <si>
    <t>V372</t>
  </si>
  <si>
    <t>A328</t>
  </si>
  <si>
    <t>A331</t>
  </si>
  <si>
    <t>A353</t>
  </si>
  <si>
    <t>A354</t>
  </si>
  <si>
    <t>A356</t>
  </si>
  <si>
    <t>A357</t>
  </si>
  <si>
    <t>A363</t>
  </si>
  <si>
    <t>A368</t>
  </si>
  <si>
    <t>A372</t>
  </si>
  <si>
    <t>A373</t>
  </si>
  <si>
    <t xml:space="preserve">Converged </t>
  </si>
  <si>
    <t>SUM</t>
  </si>
  <si>
    <t>RMSE</t>
  </si>
  <si>
    <t>5 ns - Light Chain</t>
  </si>
  <si>
    <t>Light Chain</t>
  </si>
  <si>
    <t>Q549</t>
  </si>
  <si>
    <t>Y550</t>
  </si>
  <si>
    <t>S552</t>
  </si>
  <si>
    <t>V525</t>
  </si>
  <si>
    <t>A549</t>
  </si>
  <si>
    <t>A550</t>
  </si>
  <si>
    <t>A552</t>
  </si>
  <si>
    <t>A525</t>
  </si>
  <si>
    <t>5 ns - All</t>
  </si>
  <si>
    <t>5 ns - Without G Sites</t>
  </si>
  <si>
    <t>20 ns - Heavy Chain</t>
  </si>
  <si>
    <t>20 ns</t>
  </si>
  <si>
    <t>W345</t>
  </si>
  <si>
    <t>W348</t>
  </si>
  <si>
    <t>Y358</t>
  </si>
  <si>
    <t>Y402</t>
  </si>
  <si>
    <t>N403</t>
  </si>
  <si>
    <t>W404</t>
  </si>
  <si>
    <t>A345</t>
  </si>
  <si>
    <t>A348</t>
  </si>
  <si>
    <t>A358</t>
  </si>
  <si>
    <t>A402</t>
  </si>
  <si>
    <t>A403</t>
  </si>
  <si>
    <t>A404</t>
  </si>
  <si>
    <t>Both Sides Convered after 1st 20 ns</t>
  </si>
  <si>
    <t>Complex averaged for run 213&amp;214. Run 215 has nan. Antibody converged after 2nd 100 ns</t>
  </si>
  <si>
    <t>Complex averaged for run213,214, and 215. Antibody converged after 1st 100 ns</t>
  </si>
  <si>
    <t>Complex converged after 2nd 20 ns, Antibody after 1st 20 ns</t>
  </si>
  <si>
    <t>Both Sides Convered after 1st 100 ns</t>
  </si>
  <si>
    <t>Complex converged after 2nd 100 ns, Antibody after 1st 100 ns</t>
  </si>
  <si>
    <t>100 ns</t>
  </si>
  <si>
    <t>20 ns - Light Chain</t>
  </si>
  <si>
    <t>Y611</t>
  </si>
  <si>
    <t>F613</t>
  </si>
  <si>
    <t>A611</t>
  </si>
  <si>
    <t>A613</t>
  </si>
  <si>
    <t>Conplex and antibody converged after 1st 100 ns</t>
  </si>
  <si>
    <t>Complex converged after 2nd 20 ns, antibody converged after 1st 20 ns</t>
  </si>
  <si>
    <t>20 ns -All</t>
  </si>
  <si>
    <t>20 ns -Without G Sites</t>
  </si>
  <si>
    <t>100 ns - Heavy Chain</t>
  </si>
  <si>
    <t>100 ns - Light Chain</t>
  </si>
  <si>
    <t>100 ns - All</t>
  </si>
  <si>
    <t>100 ns - Without G Sites</t>
  </si>
  <si>
    <t>VRC03 Light Chain</t>
  </si>
  <si>
    <t>VRC03 Homology Model Light Chain</t>
  </si>
  <si>
    <t>VRC03 Heavy Chain</t>
  </si>
  <si>
    <t>VRC03 Homology Model Heavy Chain</t>
  </si>
  <si>
    <t>N30</t>
  </si>
  <si>
    <t>F90</t>
  </si>
  <si>
    <t>L54</t>
  </si>
  <si>
    <t>L352</t>
  </si>
  <si>
    <t>F92</t>
  </si>
  <si>
    <t>W55</t>
  </si>
  <si>
    <t>W353</t>
  </si>
  <si>
    <t>G56</t>
  </si>
  <si>
    <t>V58</t>
  </si>
  <si>
    <t>S59</t>
  </si>
  <si>
    <t>S357</t>
  </si>
  <si>
    <t>Y60</t>
  </si>
  <si>
    <t>Q63</t>
  </si>
  <si>
    <t>Q361</t>
  </si>
  <si>
    <t>Q65</t>
  </si>
  <si>
    <t>Q76</t>
  </si>
  <si>
    <t>Q374</t>
  </si>
  <si>
    <t>Y111</t>
  </si>
  <si>
    <t>Y409</t>
  </si>
  <si>
    <t>F115</t>
  </si>
  <si>
    <t>F413</t>
  </si>
  <si>
    <t>A352</t>
  </si>
  <si>
    <t>A361</t>
  </si>
  <si>
    <t>A374</t>
  </si>
  <si>
    <t>A409</t>
  </si>
  <si>
    <t>A413</t>
  </si>
  <si>
    <t>Q558</t>
  </si>
  <si>
    <t>N561</t>
  </si>
  <si>
    <t>F621</t>
  </si>
  <si>
    <t>F623</t>
  </si>
  <si>
    <t>A558</t>
  </si>
  <si>
    <t>A561</t>
  </si>
  <si>
    <t>A621</t>
  </si>
  <si>
    <t>A623</t>
  </si>
  <si>
    <t>Complex converged after 2nd 100 ns. Antibody converged after 1st 100 ns.</t>
  </si>
  <si>
    <t>Averaged 2nd and 3rd 100 ns for Complex , Antibody converged after 1st 100 ns</t>
  </si>
  <si>
    <t>Complex and antibody converged after 1st 100 ns</t>
  </si>
  <si>
    <t>20 ns - All</t>
  </si>
  <si>
    <t>20 ns - Without G Sites</t>
  </si>
  <si>
    <t>VRC-PG04 Light Chain</t>
  </si>
  <si>
    <t>VRC-PG04 Homology Model Light Chain</t>
  </si>
  <si>
    <t>VRC-PG04 Heavy Chain</t>
  </si>
  <si>
    <t>VRC-PG04 Homology Model Heavy Chain</t>
  </si>
  <si>
    <t>L34</t>
  </si>
  <si>
    <t>Y30</t>
  </si>
  <si>
    <t>G31</t>
  </si>
  <si>
    <t>L91</t>
  </si>
  <si>
    <t>V52B</t>
  </si>
  <si>
    <t>T53</t>
  </si>
  <si>
    <t>V56</t>
  </si>
  <si>
    <t>N57</t>
  </si>
  <si>
    <t>G59</t>
  </si>
  <si>
    <t>Y98</t>
  </si>
  <si>
    <t>T99</t>
  </si>
  <si>
    <t>G100</t>
  </si>
  <si>
    <t>G100A</t>
  </si>
  <si>
    <t>G100C</t>
  </si>
  <si>
    <t>W349</t>
  </si>
  <si>
    <t>V353</t>
  </si>
  <si>
    <t>T354</t>
  </si>
  <si>
    <t>G355</t>
  </si>
  <si>
    <t>V357</t>
  </si>
  <si>
    <t>N358</t>
  </si>
  <si>
    <t>T403</t>
  </si>
  <si>
    <t>G404</t>
  </si>
  <si>
    <t>G405</t>
  </si>
  <si>
    <t>G407</t>
  </si>
  <si>
    <t>A349</t>
  </si>
  <si>
    <t>A355</t>
  </si>
  <si>
    <t>A405</t>
  </si>
  <si>
    <t>A407</t>
  </si>
  <si>
    <t>V526</t>
  </si>
  <si>
    <t>Y551</t>
  </si>
  <si>
    <t>G552</t>
  </si>
  <si>
    <t>L612</t>
  </si>
  <si>
    <t>F614</t>
  </si>
  <si>
    <t>A526</t>
  </si>
  <si>
    <t>A551</t>
  </si>
  <si>
    <t>A612</t>
  </si>
  <si>
    <t>A614</t>
  </si>
  <si>
    <t>L332</t>
  </si>
  <si>
    <t>W346</t>
  </si>
  <si>
    <t>G360</t>
  </si>
  <si>
    <t>A332</t>
  </si>
  <si>
    <t>A346</t>
  </si>
  <si>
    <t>S353</t>
  </si>
  <si>
    <t>A360</t>
  </si>
  <si>
    <t xml:space="preserve">100 ns </t>
  </si>
  <si>
    <t>Average of thrid and 4th 100 ns for Complex, Antibody Converged after 1st 100 ns</t>
  </si>
  <si>
    <t>Average of 1st to third 100 ns for Complex, Antibody Converegd after 1st 100 ns</t>
  </si>
  <si>
    <t>2nd 20 ns for Complex, 1st 20 ns for antibody</t>
  </si>
  <si>
    <t>Both Sides Converged after 1st 100 ns</t>
  </si>
  <si>
    <t>Both Sides Converged after 1st 20 ns</t>
  </si>
  <si>
    <t>All Sites</t>
  </si>
  <si>
    <t>VRC01</t>
  </si>
  <si>
    <t>VRC03</t>
  </si>
  <si>
    <t>VRC-PG04</t>
  </si>
  <si>
    <t>Without G Sites</t>
  </si>
  <si>
    <t>Without G Present</t>
  </si>
  <si>
    <t>With G Present</t>
  </si>
  <si>
    <t>20 ns -All Without G Present</t>
  </si>
  <si>
    <t>20 ns -All With G Present</t>
  </si>
  <si>
    <t>20 ns - All Without G Present</t>
  </si>
  <si>
    <t>Complex averaged over 1st,2nd, and 3rd 100 ns</t>
  </si>
  <si>
    <t>Complex Converged after 1st 100 ns</t>
  </si>
  <si>
    <t>Complex Converged after 2nd 100 ns</t>
  </si>
  <si>
    <t>20 ns - All With G Present</t>
  </si>
  <si>
    <t>V523</t>
  </si>
  <si>
    <t>A523</t>
  </si>
  <si>
    <t>Q547</t>
  </si>
  <si>
    <t>A547</t>
  </si>
  <si>
    <t>Y548</t>
  </si>
  <si>
    <t>A548</t>
  </si>
  <si>
    <t>S550</t>
  </si>
  <si>
    <t>F611</t>
  </si>
  <si>
    <t>Converged</t>
  </si>
  <si>
    <t xml:space="preserve">20 ns </t>
  </si>
  <si>
    <t>Complex converged after 3rd 20 ns. Antibody Converged after 1st 20 ns</t>
  </si>
  <si>
    <t>Complex average over 1st,2nd, and 3rd 100 ns, Antibody converged after 1st 100 ns</t>
  </si>
  <si>
    <t>Complex aconverged after 3rd 100 ns, Antibody converged after 1st 100 ns</t>
  </si>
  <si>
    <t>Complex converged after 2nd 20 ns, Antibody converged after 1st 20 ns</t>
  </si>
  <si>
    <t>Complex averaged over 2nd and 3rd 100 ns, Antibody converged after 3rd 100 ns</t>
  </si>
  <si>
    <t>A609</t>
  </si>
  <si>
    <t>Complex and antibody Converged after 1st 20 ns</t>
  </si>
  <si>
    <t>Complex and antibody Converged after 1st 100 ns</t>
  </si>
  <si>
    <t>Complex converged after 2nd 100 ns, Antibody converged after 1st 100 ns</t>
  </si>
  <si>
    <t>Q552</t>
  </si>
  <si>
    <t>N555</t>
  </si>
  <si>
    <t>A555</t>
  </si>
  <si>
    <t>F615</t>
  </si>
  <si>
    <t>A615</t>
  </si>
  <si>
    <t>F617</t>
  </si>
  <si>
    <t>A617</t>
  </si>
  <si>
    <t>Complex averaged over 1st, 2nd, and 3rd 100 ns, Antibody converged after 1st 100 ns.</t>
  </si>
  <si>
    <t>Complex converged after 2nd 100 ns, Antibody converged after 1st 100 ns.</t>
  </si>
  <si>
    <t>Complex and antibody converged after 1st 20 ns</t>
  </si>
  <si>
    <t>Complex averaged over 1st,2nd, and 3rd 100 ns, Antibody converegd after 1st 100 ns</t>
  </si>
  <si>
    <t>20 ns *</t>
  </si>
  <si>
    <t>Complex did not converge, used 1st 100 ns. Antibody converged after 1st 20 ns. Used 1st 100 ns for both. Average not possible as 2nd to 4th 20 ns were nan</t>
  </si>
  <si>
    <t>Complex averaged over 1st,2nd, and 3rd 20 ns, antibody converged after 1st 20 ns</t>
  </si>
  <si>
    <t>Complex averaged over 2nd and third 100 ns, antibody converged after 1st 100 ns</t>
  </si>
  <si>
    <t>* 100 ns instead of 20 ns</t>
  </si>
  <si>
    <t>Complex converged after 1st 20 ns, Antibody converged after 2nd 20 ns</t>
  </si>
  <si>
    <t>Complex and antibody convergd after 1st 100 ns</t>
  </si>
  <si>
    <t>Complex converged after 1st 100 ns, Antibody after 3rd 100 ns</t>
  </si>
  <si>
    <t xml:space="preserve"> All average (Truncated + Untruncated)</t>
  </si>
  <si>
    <t xml:space="preserve"> Without G Sites average (Truncated + Untruncated)</t>
  </si>
  <si>
    <t xml:space="preserve"> All average (Truncated With Glycan Present in the structure+ Untruncated)</t>
  </si>
  <si>
    <t xml:space="preserve"> Without G Sites average (Truncated With Glycan Present in the structure+ Untruncated)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</si>
</sst>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6" formatCode="0.000000"/>
  </numFmts>
  <fonts count="12">
    <font>
      <sz val="12"/>
      <color theme="1"/>
      <name val="Aptos Narrow"/>
      <family val="2"/>
      <scheme val="minor"/>
    </font>
    <font>
      <sz val="12"/>
      <color theme="1"/>
      <name val="Times New Roman"/>
      <family val="1"/>
    </font>
    <font>
      <b/>
      <sz val="12"/>
      <color theme="1"/>
      <name val="Times New Roman"/>
      <family val="1"/>
    </font>
    <font>
      <b/>
      <sz val="12"/>
      <color rgb="FF000000"/>
      <name val="Times New Roman"/>
      <family val="1"/>
    </font>
    <font>
      <b/>
      <sz val="13"/>
      <name val="Times New Roman"/>
      <family val="1"/>
    </font>
    <font>
      <b/>
      <sz val="11"/>
      <name val="Times New Roman"/>
      <family val="1"/>
    </font>
    <font>
      <b/>
      <sz val="11"/>
      <color theme="1"/>
      <name val="Times New Roman"/>
      <family val="1"/>
    </font>
    <font>
      <sz val="8"/>
      <name val="Aptos Narrow"/>
      <family val="2"/>
      <scheme val="minor"/>
    </font>
    <font>
      <sz val="12"/>
      <color rgb="FF000000"/>
      <name val="Times New Roman"/>
      <family val="1"/>
    </font>
    <font>
      <sz val="12"/>
      <color theme="1"/>
      <name val="Imes"/>
    </font>
    <font>
      <sz val="11"/>
      <color rgb="FF000000"/>
      <name val="Calibri"/>
      <family val="2"/>
    </font>
    <font>
      <sz val="11"/>
      <color rgb="FF000000"/>
      <name val="Times New Roman"/>
      <family val="1"/>
    </font>
  </fonts>
  <fills count="6">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rgb="FFD9EAF7"/>
      </patternFill>
    </fill>
    <fill>
      <patternFill patternType="solid">
        <fgColor rgb="FFB7E1A1"/>
      </patternFill>
    </fill>
  </fills>
  <borders count="2">
    <border>
      <left/>
      <right/>
      <top/>
      <bottom/>
      <diagonal/>
    </border>
    <border>
      <left/>
      <right/>
      <top/>
      <bottom style="thin">
        <color rgb="FFD9D9D9"/>
      </bottom>
      <diagonal/>
    </border>
  </borders>
  <cellStyleXfs count="1">
    <xf numFmtId="0" fontId="0" fillId="0" borderId="0"/>
  </cellStyleXfs>
  <cellXfs count="64">
    <xf numFmtId="0" fontId="0" fillId="0" borderId="0" xfId="0"/>
    <xf numFmtId="0" fontId="1" fillId="0" borderId="0" xfId="0" applyFont="1"/>
    <xf numFmtId="0" fontId="2" fillId="0" borderId="0" xfId="0" applyFont="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vertical="center"/>
    </xf>
    <xf numFmtId="0" fontId="3" fillId="0" borderId="0" xfId="0" applyFont="1" applyAlignment="1">
      <alignment horizontal="center" vertical="center"/>
    </xf>
    <xf numFmtId="0" fontId="1" fillId="3" borderId="0" xfId="0" applyFont="1" applyFill="1" applyAlignment="1">
      <alignment horizontal="center" vertical="center"/>
    </xf>
    <xf numFmtId="0" fontId="1" fillId="3" borderId="0" xfId="0" applyFont="1" applyFill="1"/>
    <xf numFmtId="164" fontId="1" fillId="0" borderId="0" xfId="0" applyNumberFormat="1" applyFont="1" applyAlignment="1">
      <alignment horizontal="center" vertical="center"/>
    </xf>
    <xf numFmtId="164" fontId="1" fillId="0" borderId="0" xfId="0" applyNumberFormat="1" applyFont="1" applyAlignment="1">
      <alignment horizontal="center"/>
    </xf>
    <xf numFmtId="164" fontId="4" fillId="0" borderId="1" xfId="0" applyNumberFormat="1" applyFont="1" applyBorder="1" applyAlignment="1">
      <alignment vertical="center"/>
    </xf>
    <xf numFmtId="164" fontId="0" fillId="0" borderId="0" xfId="0" applyNumberFormat="1"/>
    <xf numFmtId="164" fontId="5" fillId="4" borderId="1" xfId="0" applyNumberFormat="1" applyFont="1" applyFill="1" applyBorder="1" applyAlignment="1">
      <alignment vertical="center"/>
    </xf>
    <xf numFmtId="164" fontId="5" fillId="4" borderId="1" xfId="0" applyNumberFormat="1" applyFont="1" applyFill="1" applyBorder="1" applyAlignment="1">
      <alignment horizontal="center" vertical="center"/>
    </xf>
    <xf numFmtId="164" fontId="5" fillId="5" borderId="1" xfId="0" applyNumberFormat="1" applyFont="1" applyFill="1" applyBorder="1" applyAlignment="1">
      <alignment vertical="center"/>
    </xf>
    <xf numFmtId="164" fontId="1" fillId="0" borderId="1" xfId="0" applyNumberFormat="1" applyFont="1" applyBorder="1" applyAlignment="1">
      <alignment vertical="center"/>
    </xf>
    <xf numFmtId="0" fontId="1" fillId="0" borderId="0" xfId="0" applyFont="1" applyAlignment="1">
      <alignment horizontal="center"/>
    </xf>
    <xf numFmtId="2" fontId="1" fillId="0" borderId="1" xfId="0" applyNumberFormat="1" applyFont="1" applyBorder="1" applyAlignment="1">
      <alignment horizontal="center" vertical="center"/>
    </xf>
    <xf numFmtId="164" fontId="6" fillId="0" borderId="1" xfId="0" applyNumberFormat="1" applyFont="1" applyBorder="1" applyAlignment="1">
      <alignment horizontal="center" vertical="center"/>
    </xf>
    <xf numFmtId="164" fontId="5" fillId="5" borderId="1" xfId="0" applyNumberFormat="1" applyFont="1" applyFill="1" applyBorder="1" applyAlignment="1">
      <alignment horizontal="center" vertical="center"/>
    </xf>
    <xf numFmtId="164" fontId="1" fillId="0" borderId="0" xfId="0" applyNumberFormat="1" applyFont="1"/>
    <xf numFmtId="0" fontId="8" fillId="0" borderId="0" xfId="0" applyFont="1"/>
    <xf numFmtId="164" fontId="5" fillId="0" borderId="1" xfId="0" applyNumberFormat="1" applyFont="1" applyBorder="1" applyAlignment="1">
      <alignment vertical="center"/>
    </xf>
    <xf numFmtId="0" fontId="1" fillId="2" borderId="0" xfId="0" applyFont="1" applyFill="1" applyAlignment="1">
      <alignment horizontal="center"/>
    </xf>
    <xf numFmtId="3" fontId="1" fillId="0" borderId="0" xfId="0" applyNumberFormat="1" applyFont="1" applyAlignment="1">
      <alignment horizontal="center"/>
    </xf>
    <xf numFmtId="0" fontId="1" fillId="3" borderId="0" xfId="0" applyFont="1" applyFill="1" applyAlignment="1">
      <alignment horizontal="center"/>
    </xf>
    <xf numFmtId="164" fontId="8" fillId="0" borderId="1" xfId="0" applyNumberFormat="1" applyFont="1" applyBorder="1" applyAlignment="1">
      <alignment vertical="center"/>
    </xf>
    <xf numFmtId="164" fontId="1" fillId="2" borderId="0" xfId="0" applyNumberFormat="1" applyFont="1" applyFill="1" applyAlignment="1">
      <alignment horizontal="center"/>
    </xf>
    <xf numFmtId="164" fontId="1" fillId="3" borderId="0" xfId="0" applyNumberFormat="1" applyFont="1" applyFill="1" applyAlignment="1">
      <alignment horizontal="center"/>
    </xf>
    <xf numFmtId="2" fontId="1" fillId="0" borderId="0" xfId="0" applyNumberFormat="1" applyFont="1"/>
    <xf numFmtId="2" fontId="5" fillId="5" borderId="1" xfId="0" applyNumberFormat="1" applyFont="1" applyFill="1" applyBorder="1" applyAlignment="1">
      <alignment horizontal="center" vertical="center"/>
    </xf>
    <xf numFmtId="164" fontId="9" fillId="0" borderId="0" xfId="0" applyNumberFormat="1" applyFont="1"/>
    <xf numFmtId="164" fontId="8" fillId="0" borderId="0" xfId="0" applyNumberFormat="1" applyFont="1"/>
    <xf numFmtId="164" fontId="8" fillId="0" borderId="0" xfId="0" applyNumberFormat="1" applyFont="1" applyAlignment="1">
      <alignment horizontal="center" vertical="center"/>
    </xf>
    <xf numFmtId="164" fontId="2" fillId="0" borderId="0" xfId="0" applyNumberFormat="1" applyFont="1" applyAlignment="1">
      <alignment horizontal="left"/>
    </xf>
    <xf numFmtId="164" fontId="0" fillId="0" borderId="0" xfId="0" applyNumberFormat="1" applyAlignment="1">
      <alignment horizontal="left"/>
    </xf>
    <xf numFmtId="164" fontId="5" fillId="4" borderId="1" xfId="0" applyNumberFormat="1" applyFont="1" applyFill="1" applyBorder="1" applyAlignment="1">
      <alignment horizontal="left" vertical="center"/>
    </xf>
    <xf numFmtId="164" fontId="5" fillId="5" borderId="1" xfId="0" applyNumberFormat="1" applyFont="1" applyFill="1" applyBorder="1" applyAlignment="1">
      <alignment horizontal="left" vertical="center"/>
    </xf>
    <xf numFmtId="164" fontId="1" fillId="0" borderId="0" xfId="0" applyNumberFormat="1" applyFont="1" applyAlignment="1">
      <alignment horizontal="left"/>
    </xf>
    <xf numFmtId="164" fontId="1" fillId="0" borderId="0" xfId="0" applyNumberFormat="1" applyFont="1" applyAlignment="1">
      <alignment horizontal="left" vertical="center"/>
    </xf>
    <xf numFmtId="0" fontId="2" fillId="0" borderId="0" xfId="0" applyFont="1"/>
    <xf numFmtId="164" fontId="1" fillId="2" borderId="0" xfId="0" applyNumberFormat="1" applyFont="1" applyFill="1" applyAlignment="1">
      <alignment horizontal="center" vertical="center"/>
    </xf>
    <xf numFmtId="164" fontId="1" fillId="3" borderId="0" xfId="0" applyNumberFormat="1" applyFont="1" applyFill="1" applyAlignment="1">
      <alignment horizontal="center" vertical="center"/>
    </xf>
    <xf numFmtId="164" fontId="2" fillId="0" borderId="0" xfId="0" applyNumberFormat="1" applyFont="1"/>
    <xf numFmtId="0" fontId="0" fillId="0" borderId="1" xfId="0" applyBorder="1" applyAlignment="1">
      <alignment vertical="center"/>
    </xf>
    <xf numFmtId="164" fontId="0" fillId="0" borderId="1" xfId="0" applyNumberFormat="1" applyBorder="1" applyAlignment="1">
      <alignment vertical="center"/>
    </xf>
    <xf numFmtId="0" fontId="1" fillId="0" borderId="1" xfId="0" applyFont="1" applyBorder="1" applyAlignment="1">
      <alignment vertical="center"/>
    </xf>
    <xf numFmtId="164" fontId="2" fillId="0" borderId="0" xfId="0" applyNumberFormat="1" applyFont="1" applyAlignment="1">
      <alignment horizontal="center" vertical="center"/>
    </xf>
    <xf numFmtId="164" fontId="3" fillId="0" borderId="0" xfId="0" applyNumberFormat="1" applyFont="1" applyAlignment="1">
      <alignment horizontal="center" vertical="center"/>
    </xf>
    <xf numFmtId="164" fontId="1" fillId="3" borderId="0" xfId="0" applyNumberFormat="1" applyFont="1" applyFill="1"/>
    <xf numFmtId="164" fontId="1" fillId="0" borderId="1" xfId="0" applyNumberFormat="1" applyFont="1" applyBorder="1" applyAlignment="1">
      <alignment horizontal="center" vertical="center"/>
    </xf>
    <xf numFmtId="1" fontId="1" fillId="0" borderId="0" xfId="0" applyNumberFormat="1" applyFont="1" applyAlignment="1">
      <alignment horizontal="center" vertical="center"/>
    </xf>
    <xf numFmtId="1" fontId="1" fillId="0" borderId="0" xfId="0" applyNumberFormat="1" applyFont="1" applyAlignment="1">
      <alignment horizontal="center"/>
    </xf>
    <xf numFmtId="1" fontId="1" fillId="0" borderId="0" xfId="0" applyNumberFormat="1" applyFont="1" applyAlignment="1">
      <alignment horizontal="left" vertical="center"/>
    </xf>
    <xf numFmtId="1" fontId="8" fillId="0" borderId="0" xfId="0" applyNumberFormat="1" applyFont="1" applyAlignment="1">
      <alignment horizontal="center" vertical="center"/>
    </xf>
    <xf numFmtId="1" fontId="8" fillId="0" borderId="0" xfId="0" applyNumberFormat="1" applyFont="1" applyAlignment="1">
      <alignment horizontal="left" vertical="center"/>
    </xf>
    <xf numFmtId="0" fontId="10" fillId="0" borderId="1" xfId="0" applyFont="1" applyBorder="1" applyAlignment="1">
      <alignment vertical="center"/>
    </xf>
    <xf numFmtId="164" fontId="10" fillId="0" borderId="1" xfId="0" applyNumberFormat="1" applyFont="1" applyBorder="1" applyAlignment="1">
      <alignment vertical="center"/>
    </xf>
    <xf numFmtId="164" fontId="11" fillId="0" borderId="1" xfId="0" applyNumberFormat="1" applyFont="1" applyBorder="1" applyAlignment="1">
      <alignment vertical="center"/>
    </xf>
    <xf numFmtId="0" fontId="11" fillId="0" borderId="1" xfId="0" applyFont="1" applyBorder="1" applyAlignment="1">
      <alignment vertical="center"/>
    </xf>
    <xf numFmtId="0" fontId="1" fillId="0" borderId="0" xfId="0" applyFont="1" applyAlignment="1">
      <alignment horizontal="left"/>
    </xf>
    <xf numFmtId="0" fontId="1" fillId="0" borderId="1" xfId="0" applyFont="1" applyBorder="1" applyAlignment="1">
      <alignment horizontal="center" vertical="center"/>
    </xf>
    <xf numFmtId="164" fontId="1" fillId="0" borderId="0" xfId="0" applyNumberFormat="1" applyFont="1" applyAlignment="1">
      <alignment horizontal="right"/>
    </xf>
    <xf numFmtId="16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4B36-984F-5A47-A901-245760478996}">
  <dimension ref="A1:BJ92"/>
  <sheetViews>
    <sheetView topLeftCell="U1" workbookViewId="0">
      <selection activeCell="J52" sqref="J52"/>
    </sheetView>
  </sheetViews>
  <sheetFormatPr baseColWidth="10" defaultRowHeight="16"/>
  <cols>
    <col min="1" max="1" width="25" style="1" customWidth="1"/>
    <col min="2" max="2" width="29.5" style="1" customWidth="1"/>
    <col min="3" max="3" width="17.5" style="1" customWidth="1"/>
    <col min="4" max="4" width="10.83203125" style="1"/>
    <col min="5" max="5" width="24" style="1" customWidth="1"/>
    <col min="6" max="6" width="23.1640625" style="1" customWidth="1"/>
    <col min="7" max="7" width="17.1640625" style="1" customWidth="1"/>
    <col min="8" max="10" width="10.83203125" style="1"/>
    <col min="11" max="11" width="13.5" style="1" customWidth="1"/>
    <col min="12" max="12" width="21.1640625" style="1" customWidth="1"/>
    <col min="13" max="13" width="13.5" style="1" customWidth="1"/>
    <col min="14" max="14" width="13.1640625" style="1" customWidth="1"/>
    <col min="15" max="15" width="20.5" style="1" customWidth="1"/>
    <col min="16" max="16" width="19.33203125" style="1" customWidth="1"/>
    <col min="17" max="17" width="17.5" style="1" customWidth="1"/>
    <col min="18" max="18" width="20.33203125" style="1" customWidth="1"/>
    <col min="19" max="19" width="10.83203125" style="1"/>
    <col min="20" max="20" width="12.83203125" style="1" customWidth="1"/>
    <col min="21" max="21" width="15.83203125" style="1" customWidth="1"/>
    <col min="22" max="22" width="10.83203125" style="1"/>
    <col min="23" max="23" width="17.6640625" style="1" customWidth="1"/>
    <col min="24" max="24" width="17.83203125" style="1" customWidth="1"/>
    <col min="25" max="28" width="10.83203125" style="1"/>
    <col min="29" max="29" width="16.33203125" style="1" customWidth="1"/>
    <col min="30" max="31" width="10.83203125" style="1"/>
    <col min="32" max="32" width="17.83203125" style="1" customWidth="1"/>
    <col min="33" max="33" width="19.6640625" style="1" customWidth="1"/>
    <col min="34" max="34" width="16.83203125" style="1" customWidth="1"/>
    <col min="35" max="35" width="20.83203125" style="1" customWidth="1"/>
    <col min="36" max="36" width="10.83203125" style="1"/>
    <col min="37" max="37" width="14.33203125" style="1" customWidth="1"/>
    <col min="38" max="38" width="15.83203125" style="1" customWidth="1"/>
    <col min="39" max="39" width="10.83203125" style="1"/>
    <col min="40" max="40" width="15.83203125" style="1" customWidth="1"/>
    <col min="41" max="41" width="19.5" style="1" customWidth="1"/>
    <col min="42" max="49" width="10.83203125" style="1"/>
    <col min="50" max="50" width="19.6640625" style="1" customWidth="1"/>
    <col min="51" max="51" width="12.1640625" style="1" customWidth="1"/>
    <col min="52" max="52" width="10.83203125" style="1"/>
    <col min="53" max="53" width="18.33203125" style="1" customWidth="1"/>
    <col min="54" max="54" width="21.33203125" style="1" customWidth="1"/>
    <col min="55" max="55" width="17.6640625" style="1" customWidth="1"/>
    <col min="56" max="56" width="20.5" style="1" customWidth="1"/>
    <col min="57" max="57" width="11.5" style="1" customWidth="1"/>
    <col min="58" max="58" width="10.83203125" style="1"/>
    <col min="59" max="59" width="14.1640625" style="1" customWidth="1"/>
    <col min="60" max="60" width="10.83203125" style="1"/>
    <col min="61" max="61" width="15" style="1" customWidth="1"/>
    <col min="62" max="62" width="18.83203125" style="1" customWidth="1"/>
    <col min="63" max="16384" width="10.83203125" style="1"/>
  </cols>
  <sheetData>
    <row r="1" spans="1:62" ht="17">
      <c r="A1" s="2" t="s">
        <v>0</v>
      </c>
      <c r="B1" s="2" t="s">
        <v>1</v>
      </c>
      <c r="C1" s="2" t="s">
        <v>2</v>
      </c>
      <c r="E1" s="2" t="s">
        <v>3</v>
      </c>
      <c r="F1" s="2" t="s">
        <v>3</v>
      </c>
      <c r="G1" s="2" t="s">
        <v>2</v>
      </c>
      <c r="J1" s="10" t="s">
        <v>29</v>
      </c>
      <c r="K1" s="11"/>
      <c r="L1" s="11"/>
      <c r="M1" s="11"/>
      <c r="N1" s="11"/>
      <c r="O1" s="11"/>
      <c r="P1" s="11"/>
      <c r="Q1" s="11"/>
      <c r="R1" s="11"/>
      <c r="S1" s="11"/>
      <c r="T1" s="11"/>
      <c r="U1" s="11"/>
      <c r="V1" s="11"/>
      <c r="W1" s="11"/>
      <c r="X1" s="11"/>
      <c r="AA1" s="10" t="s">
        <v>81</v>
      </c>
      <c r="AB1" s="11"/>
      <c r="AC1" s="11"/>
      <c r="AD1" s="11"/>
      <c r="AE1" s="11"/>
      <c r="AF1" s="11"/>
      <c r="AG1" s="11"/>
      <c r="AH1" s="11"/>
      <c r="AI1" s="11"/>
      <c r="AJ1" s="11"/>
      <c r="AK1" s="11"/>
      <c r="AL1" s="11"/>
      <c r="AM1" s="11"/>
      <c r="AN1" s="11"/>
      <c r="AO1" s="11"/>
      <c r="AV1" s="10" t="s">
        <v>111</v>
      </c>
      <c r="AW1" s="11"/>
      <c r="AX1" s="11"/>
      <c r="AY1" s="11"/>
      <c r="AZ1" s="11"/>
      <c r="BA1" s="11"/>
      <c r="BB1" s="11"/>
      <c r="BC1" s="11"/>
      <c r="BD1" s="11"/>
      <c r="BE1" s="11"/>
      <c r="BF1" s="11"/>
      <c r="BG1" s="11"/>
      <c r="BH1" s="11"/>
      <c r="BI1" s="11"/>
      <c r="BJ1" s="11"/>
    </row>
    <row r="2" spans="1:62">
      <c r="A2" s="3" t="s">
        <v>4</v>
      </c>
      <c r="B2" s="3">
        <v>549</v>
      </c>
      <c r="C2" s="3">
        <v>-0.24</v>
      </c>
      <c r="E2" s="3" t="s">
        <v>5</v>
      </c>
      <c r="F2" s="3">
        <v>328</v>
      </c>
      <c r="G2" s="3">
        <v>-0.01</v>
      </c>
      <c r="J2" s="12" t="s">
        <v>30</v>
      </c>
      <c r="K2" s="12" t="s">
        <v>31</v>
      </c>
      <c r="L2" s="13" t="s">
        <v>32</v>
      </c>
      <c r="M2" s="12" t="s">
        <v>33</v>
      </c>
      <c r="N2" s="12" t="s">
        <v>34</v>
      </c>
      <c r="O2" s="12" t="s">
        <v>35</v>
      </c>
      <c r="P2" s="12" t="s">
        <v>36</v>
      </c>
      <c r="Q2" s="12" t="s">
        <v>37</v>
      </c>
      <c r="R2" s="12" t="s">
        <v>38</v>
      </c>
      <c r="S2" s="12" t="s">
        <v>39</v>
      </c>
      <c r="T2" s="14" t="s">
        <v>40</v>
      </c>
      <c r="U2" s="12" t="s">
        <v>41</v>
      </c>
      <c r="V2" s="12" t="s">
        <v>42</v>
      </c>
      <c r="W2" s="12" t="s">
        <v>43</v>
      </c>
      <c r="X2" s="12" t="s">
        <v>44</v>
      </c>
      <c r="AA2" s="12" t="s">
        <v>30</v>
      </c>
      <c r="AB2" s="12" t="s">
        <v>31</v>
      </c>
      <c r="AC2" s="13" t="s">
        <v>32</v>
      </c>
      <c r="AD2" s="12" t="s">
        <v>33</v>
      </c>
      <c r="AE2" s="12" t="s">
        <v>34</v>
      </c>
      <c r="AF2" s="12" t="s">
        <v>35</v>
      </c>
      <c r="AG2" s="12" t="s">
        <v>36</v>
      </c>
      <c r="AH2" s="12" t="s">
        <v>37</v>
      </c>
      <c r="AI2" s="12" t="s">
        <v>38</v>
      </c>
      <c r="AJ2" s="12" t="s">
        <v>39</v>
      </c>
      <c r="AK2" s="14" t="s">
        <v>40</v>
      </c>
      <c r="AL2" s="12" t="s">
        <v>41</v>
      </c>
      <c r="AM2" s="12" t="s">
        <v>42</v>
      </c>
      <c r="AN2" s="12" t="s">
        <v>43</v>
      </c>
      <c r="AO2" s="12" t="s">
        <v>44</v>
      </c>
      <c r="AV2" s="12" t="s">
        <v>30</v>
      </c>
      <c r="AW2" s="12" t="s">
        <v>31</v>
      </c>
      <c r="AX2" s="13" t="s">
        <v>32</v>
      </c>
      <c r="AY2" s="12" t="s">
        <v>33</v>
      </c>
      <c r="AZ2" s="12" t="s">
        <v>34</v>
      </c>
      <c r="BA2" s="12" t="s">
        <v>35</v>
      </c>
      <c r="BB2" s="12" t="s">
        <v>36</v>
      </c>
      <c r="BC2" s="12" t="s">
        <v>37</v>
      </c>
      <c r="BD2" s="12" t="s">
        <v>38</v>
      </c>
      <c r="BE2" s="12" t="s">
        <v>39</v>
      </c>
      <c r="BF2" s="14" t="s">
        <v>40</v>
      </c>
      <c r="BG2" s="12" t="s">
        <v>41</v>
      </c>
      <c r="BH2" s="12" t="s">
        <v>42</v>
      </c>
      <c r="BI2" s="12" t="s">
        <v>43</v>
      </c>
      <c r="BJ2" s="12" t="s">
        <v>44</v>
      </c>
    </row>
    <row r="3" spans="1:62">
      <c r="A3" s="6" t="s">
        <v>6</v>
      </c>
      <c r="B3" s="3">
        <v>550</v>
      </c>
      <c r="C3" s="3">
        <v>0.97</v>
      </c>
      <c r="E3" s="3" t="s">
        <v>7</v>
      </c>
      <c r="F3" s="3">
        <v>331</v>
      </c>
      <c r="G3" s="3">
        <v>0.7</v>
      </c>
      <c r="J3" s="15" t="s">
        <v>45</v>
      </c>
      <c r="K3" s="15" t="s">
        <v>46</v>
      </c>
      <c r="L3" s="3" t="s">
        <v>5</v>
      </c>
      <c r="M3" s="3" t="s">
        <v>47</v>
      </c>
      <c r="N3" s="1" t="s">
        <v>56</v>
      </c>
      <c r="O3" s="20">
        <v>-13.536</v>
      </c>
      <c r="P3" s="20">
        <v>0.45700000000000002</v>
      </c>
      <c r="Q3" s="20">
        <v>-13.862</v>
      </c>
      <c r="R3" s="20">
        <v>0.16300000000000001</v>
      </c>
      <c r="S3" s="20">
        <f>O3-Q3</f>
        <v>0.32600000000000051</v>
      </c>
      <c r="T3" s="20">
        <f>SQRT((P3)^2 + (R3)^2)</f>
        <v>0.48519892827581557</v>
      </c>
      <c r="U3" s="20">
        <f>T3^2</f>
        <v>0.23541800000000002</v>
      </c>
      <c r="V3" s="8">
        <v>-0.01</v>
      </c>
      <c r="W3" s="20">
        <f>(S3-V3)^2</f>
        <v>0.11289600000000034</v>
      </c>
      <c r="X3" s="9" t="s">
        <v>66</v>
      </c>
      <c r="AA3" s="15" t="s">
        <v>82</v>
      </c>
      <c r="AB3" s="15" t="s">
        <v>46</v>
      </c>
      <c r="AC3" s="3" t="s">
        <v>5</v>
      </c>
      <c r="AD3" s="3" t="s">
        <v>47</v>
      </c>
      <c r="AE3" s="1" t="s">
        <v>56</v>
      </c>
      <c r="AF3" s="20">
        <v>-12.409000000000001</v>
      </c>
      <c r="AG3" s="20">
        <v>0.20899999999999999</v>
      </c>
      <c r="AH3" s="20">
        <v>-13.032999999999999</v>
      </c>
      <c r="AI3" s="20">
        <v>0.20200000000000001</v>
      </c>
      <c r="AJ3" s="20">
        <f>AF3-AH3</f>
        <v>0.62399999999999878</v>
      </c>
      <c r="AK3" s="20">
        <f>SQRT((AG3)^2 + (AI3)^2)</f>
        <v>0.29066303514551006</v>
      </c>
      <c r="AL3" s="20">
        <f>AK3^2</f>
        <v>8.4485000000000018E-2</v>
      </c>
      <c r="AM3" s="8">
        <v>-0.01</v>
      </c>
      <c r="AN3" s="20">
        <f>(AJ3-AM3)^2</f>
        <v>0.40195599999999848</v>
      </c>
      <c r="AO3" s="1" t="s">
        <v>95</v>
      </c>
      <c r="AV3" s="15" t="s">
        <v>101</v>
      </c>
      <c r="AW3" s="15" t="s">
        <v>46</v>
      </c>
      <c r="AX3" s="3" t="s">
        <v>5</v>
      </c>
      <c r="AY3" s="3" t="s">
        <v>47</v>
      </c>
      <c r="AZ3" s="1" t="s">
        <v>56</v>
      </c>
      <c r="BA3" s="20">
        <v>-12.769</v>
      </c>
      <c r="BB3" s="20">
        <v>0.187</v>
      </c>
      <c r="BC3" s="20">
        <v>-13.163</v>
      </c>
      <c r="BD3" s="20">
        <v>7.9000000000000001E-2</v>
      </c>
      <c r="BE3" s="20">
        <f>BA3-BC3</f>
        <v>0.39400000000000013</v>
      </c>
      <c r="BF3" s="20">
        <f>SQRT((BB3)^2 + (BD3)^2)</f>
        <v>0.20300246303924491</v>
      </c>
      <c r="BG3" s="20">
        <f>BF3^2</f>
        <v>4.1209999999999997E-2</v>
      </c>
      <c r="BH3" s="8">
        <v>-0.01</v>
      </c>
      <c r="BI3" s="20">
        <f>(BE3-BH3)^2</f>
        <v>0.16321600000000011</v>
      </c>
      <c r="BJ3" s="1" t="s">
        <v>99</v>
      </c>
    </row>
    <row r="4" spans="1:62">
      <c r="A4" s="6" t="s">
        <v>8</v>
      </c>
      <c r="B4" s="3">
        <v>552</v>
      </c>
      <c r="C4" s="3">
        <v>-0.15</v>
      </c>
      <c r="E4" s="3" t="s">
        <v>9</v>
      </c>
      <c r="F4" s="3">
        <v>345</v>
      </c>
      <c r="G4" s="3">
        <v>1.19</v>
      </c>
      <c r="J4" s="15" t="s">
        <v>45</v>
      </c>
      <c r="K4" s="15" t="s">
        <v>46</v>
      </c>
      <c r="L4" s="3" t="s">
        <v>7</v>
      </c>
      <c r="M4" s="3" t="s">
        <v>48</v>
      </c>
      <c r="N4" s="1" t="s">
        <v>57</v>
      </c>
      <c r="O4" s="20">
        <v>11.72</v>
      </c>
      <c r="P4" s="20">
        <v>0.115</v>
      </c>
      <c r="Q4" s="20">
        <v>11.284000000000001</v>
      </c>
      <c r="R4" s="20">
        <v>0.14000000000000001</v>
      </c>
      <c r="S4" s="20">
        <f t="shared" ref="S4:S12" si="0">O4-Q4</f>
        <v>0.43599999999999994</v>
      </c>
      <c r="T4" s="20">
        <f t="shared" ref="T4:T12" si="1">SQRT((P4)^2 + (R4)^2)</f>
        <v>0.1811767093199344</v>
      </c>
      <c r="U4" s="20">
        <f t="shared" ref="U4:U12" si="2">T4^2</f>
        <v>3.2825000000000007E-2</v>
      </c>
      <c r="V4" s="8">
        <v>0.7</v>
      </c>
      <c r="W4" s="20">
        <f t="shared" ref="W4:W12" si="3">(S4-V4)^2</f>
        <v>6.9696000000000008E-2</v>
      </c>
      <c r="X4" s="9" t="s">
        <v>66</v>
      </c>
      <c r="AA4" s="15" t="s">
        <v>82</v>
      </c>
      <c r="AB4" s="15" t="s">
        <v>46</v>
      </c>
      <c r="AC4" s="3" t="s">
        <v>7</v>
      </c>
      <c r="AD4" s="3" t="s">
        <v>48</v>
      </c>
      <c r="AE4" s="1" t="s">
        <v>57</v>
      </c>
      <c r="AF4" s="20">
        <v>11.23</v>
      </c>
      <c r="AG4" s="20">
        <v>0.182</v>
      </c>
      <c r="AH4" s="20">
        <v>11.393000000000001</v>
      </c>
      <c r="AI4" s="20">
        <v>9.1999999999999998E-2</v>
      </c>
      <c r="AJ4" s="20">
        <f t="shared" ref="AJ4:AJ18" si="4">AF4-AH4</f>
        <v>-0.16300000000000026</v>
      </c>
      <c r="AK4" s="20">
        <f t="shared" ref="AK4:AK18" si="5">SQRT((AG4)^2 + (AI4)^2)</f>
        <v>0.20393136100168605</v>
      </c>
      <c r="AL4" s="20">
        <f t="shared" ref="AL4:AL18" si="6">AK4^2</f>
        <v>4.1587999999999993E-2</v>
      </c>
      <c r="AM4" s="8">
        <v>0.7</v>
      </c>
      <c r="AN4" s="20">
        <f t="shared" ref="AN4:AN18" si="7">(AJ4-AM4)^2</f>
        <v>0.74476900000000035</v>
      </c>
      <c r="AO4" s="1" t="s">
        <v>95</v>
      </c>
      <c r="AV4" s="15" t="s">
        <v>101</v>
      </c>
      <c r="AW4" s="15" t="s">
        <v>46</v>
      </c>
      <c r="AX4" s="3" t="s">
        <v>7</v>
      </c>
      <c r="AY4" s="3" t="s">
        <v>48</v>
      </c>
      <c r="AZ4" s="1" t="s">
        <v>57</v>
      </c>
      <c r="BA4" s="20">
        <v>11.429</v>
      </c>
      <c r="BB4" s="20">
        <v>0.17699999999999999</v>
      </c>
      <c r="BC4" s="20">
        <v>10.743</v>
      </c>
      <c r="BD4" s="20">
        <v>0.13600000000000001</v>
      </c>
      <c r="BE4" s="20">
        <f t="shared" ref="BE4:BE16" si="8">BA4-BC4</f>
        <v>0.68599999999999994</v>
      </c>
      <c r="BF4" s="20">
        <f t="shared" ref="BF4:BF16" si="9">SQRT((BB4)^2 + (BD4)^2)</f>
        <v>0.22321514285549712</v>
      </c>
      <c r="BG4" s="20">
        <f t="shared" ref="BG4:BG16" si="10">BF4^2</f>
        <v>4.9824999999999987E-2</v>
      </c>
      <c r="BH4" s="8">
        <v>0.7</v>
      </c>
      <c r="BI4" s="20">
        <f t="shared" ref="BI4:BI16" si="11">(BE4-BH4)^2</f>
        <v>1.9600000000000035E-4</v>
      </c>
      <c r="BJ4" s="1" t="s">
        <v>99</v>
      </c>
    </row>
    <row r="5" spans="1:62">
      <c r="A5" s="6" t="s">
        <v>10</v>
      </c>
      <c r="B5" s="3">
        <v>611</v>
      </c>
      <c r="C5" s="3">
        <v>2.0099999999999998</v>
      </c>
      <c r="E5" s="3" t="s">
        <v>11</v>
      </c>
      <c r="F5" s="3">
        <v>348</v>
      </c>
      <c r="G5" s="3">
        <v>1.28</v>
      </c>
      <c r="J5" s="15" t="s">
        <v>45</v>
      </c>
      <c r="K5" s="15" t="s">
        <v>46</v>
      </c>
      <c r="L5" s="3" t="s">
        <v>13</v>
      </c>
      <c r="M5" s="3" t="s">
        <v>49</v>
      </c>
      <c r="N5" s="1" t="s">
        <v>58</v>
      </c>
      <c r="O5" s="20">
        <v>11.25</v>
      </c>
      <c r="P5" s="20">
        <v>0.308</v>
      </c>
      <c r="Q5" s="20">
        <v>11.538</v>
      </c>
      <c r="R5" s="20">
        <v>0.104</v>
      </c>
      <c r="S5" s="20">
        <f t="shared" si="0"/>
        <v>-0.28800000000000026</v>
      </c>
      <c r="T5" s="20">
        <f t="shared" si="1"/>
        <v>0.32508460437246178</v>
      </c>
      <c r="U5" s="20">
        <f t="shared" si="2"/>
        <v>0.10568</v>
      </c>
      <c r="V5" s="8">
        <v>-1.28</v>
      </c>
      <c r="W5" s="20">
        <f t="shared" si="3"/>
        <v>0.98406399999999949</v>
      </c>
      <c r="X5" s="9" t="s">
        <v>66</v>
      </c>
      <c r="AA5" s="15" t="s">
        <v>82</v>
      </c>
      <c r="AB5" s="15" t="s">
        <v>46</v>
      </c>
      <c r="AC5" s="3" t="s">
        <v>9</v>
      </c>
      <c r="AD5" s="3" t="s">
        <v>83</v>
      </c>
      <c r="AE5" s="1" t="s">
        <v>89</v>
      </c>
      <c r="AF5" s="20">
        <v>-33.622</v>
      </c>
      <c r="AG5" s="20">
        <v>0.41399999999999998</v>
      </c>
      <c r="AH5" s="20">
        <v>-37.578000000000003</v>
      </c>
      <c r="AI5" s="20">
        <v>0.16800000000000001</v>
      </c>
      <c r="AJ5" s="20">
        <f t="shared" si="4"/>
        <v>3.9560000000000031</v>
      </c>
      <c r="AK5" s="20">
        <f t="shared" si="5"/>
        <v>0.44678854058715517</v>
      </c>
      <c r="AL5" s="20">
        <f t="shared" si="6"/>
        <v>0.19961999999999999</v>
      </c>
      <c r="AM5" s="8">
        <v>1.19</v>
      </c>
      <c r="AN5" s="20">
        <f t="shared" si="7"/>
        <v>7.6507560000000172</v>
      </c>
      <c r="AO5" s="1" t="s">
        <v>96</v>
      </c>
      <c r="AV5" s="15" t="s">
        <v>101</v>
      </c>
      <c r="AW5" s="15" t="s">
        <v>46</v>
      </c>
      <c r="AX5" s="3" t="s">
        <v>9</v>
      </c>
      <c r="AY5" s="3" t="s">
        <v>83</v>
      </c>
      <c r="AZ5" s="1" t="s">
        <v>89</v>
      </c>
      <c r="BA5" s="20">
        <v>-33.622</v>
      </c>
      <c r="BB5" s="20">
        <v>0.41399999999999998</v>
      </c>
      <c r="BC5" s="20">
        <v>-37.578000000000003</v>
      </c>
      <c r="BD5" s="20">
        <v>0.16800000000000001</v>
      </c>
      <c r="BE5" s="20">
        <f t="shared" si="8"/>
        <v>3.9560000000000031</v>
      </c>
      <c r="BF5" s="20">
        <f t="shared" si="9"/>
        <v>0.44678854058715517</v>
      </c>
      <c r="BG5" s="20">
        <f t="shared" si="10"/>
        <v>0.19961999999999999</v>
      </c>
      <c r="BH5" s="8">
        <v>1.19</v>
      </c>
      <c r="BI5" s="20">
        <f t="shared" si="11"/>
        <v>7.6507560000000172</v>
      </c>
      <c r="BJ5" s="1" t="s">
        <v>96</v>
      </c>
    </row>
    <row r="6" spans="1:62">
      <c r="A6" s="3" t="s">
        <v>12</v>
      </c>
      <c r="B6" s="3">
        <v>613</v>
      </c>
      <c r="C6" s="3">
        <v>0.85</v>
      </c>
      <c r="E6" s="3" t="s">
        <v>13</v>
      </c>
      <c r="F6" s="3">
        <v>353</v>
      </c>
      <c r="G6" s="3">
        <v>-1.28</v>
      </c>
      <c r="J6" s="15" t="s">
        <v>45</v>
      </c>
      <c r="K6" s="15" t="s">
        <v>46</v>
      </c>
      <c r="L6" s="3" t="s">
        <v>15</v>
      </c>
      <c r="M6" s="3" t="s">
        <v>50</v>
      </c>
      <c r="N6" s="1" t="s">
        <v>59</v>
      </c>
      <c r="O6" s="20">
        <v>14.666</v>
      </c>
      <c r="P6" s="20">
        <v>0.14299999999999999</v>
      </c>
      <c r="Q6" s="20">
        <v>13.262</v>
      </c>
      <c r="R6" s="20">
        <v>0.112</v>
      </c>
      <c r="S6" s="20">
        <f t="shared" si="0"/>
        <v>1.4039999999999999</v>
      </c>
      <c r="T6" s="20">
        <f t="shared" si="1"/>
        <v>0.18163975335812366</v>
      </c>
      <c r="U6" s="20">
        <f t="shared" si="2"/>
        <v>3.2992999999999995E-2</v>
      </c>
      <c r="V6" s="8">
        <v>1.26</v>
      </c>
      <c r="W6" s="20">
        <f t="shared" si="3"/>
        <v>2.0735999999999973E-2</v>
      </c>
      <c r="X6" s="9" t="s">
        <v>66</v>
      </c>
      <c r="AA6" s="15" t="s">
        <v>101</v>
      </c>
      <c r="AB6" s="15" t="s">
        <v>46</v>
      </c>
      <c r="AC6" s="3" t="s">
        <v>11</v>
      </c>
      <c r="AD6" s="3" t="s">
        <v>84</v>
      </c>
      <c r="AE6" s="1" t="s">
        <v>90</v>
      </c>
      <c r="AF6" s="20">
        <v>-40.414999999999999</v>
      </c>
      <c r="AG6" s="20">
        <v>0.307</v>
      </c>
      <c r="AH6" s="20">
        <v>-41.499000000000002</v>
      </c>
      <c r="AI6" s="20">
        <v>0.23400000000000001</v>
      </c>
      <c r="AJ6" s="20">
        <f t="shared" si="4"/>
        <v>1.0840000000000032</v>
      </c>
      <c r="AK6" s="20">
        <f t="shared" si="5"/>
        <v>0.3860116578550446</v>
      </c>
      <c r="AL6" s="20">
        <f t="shared" si="6"/>
        <v>0.14900500000000003</v>
      </c>
      <c r="AM6" s="8">
        <v>1.28</v>
      </c>
      <c r="AN6" s="20">
        <f t="shared" si="7"/>
        <v>3.8415999999998764E-2</v>
      </c>
      <c r="AO6" s="1" t="s">
        <v>97</v>
      </c>
      <c r="AV6" s="15" t="s">
        <v>101</v>
      </c>
      <c r="AW6" s="15" t="s">
        <v>46</v>
      </c>
      <c r="AX6" s="3" t="s">
        <v>11</v>
      </c>
      <c r="AY6" s="3" t="s">
        <v>84</v>
      </c>
      <c r="AZ6" s="1" t="s">
        <v>90</v>
      </c>
      <c r="BA6" s="20">
        <v>-40.414999999999999</v>
      </c>
      <c r="BB6" s="20">
        <v>0.307</v>
      </c>
      <c r="BC6" s="20">
        <v>-41.499000000000002</v>
      </c>
      <c r="BD6" s="20">
        <v>0.23400000000000001</v>
      </c>
      <c r="BE6" s="20">
        <f t="shared" si="8"/>
        <v>1.0840000000000032</v>
      </c>
      <c r="BF6" s="20">
        <f t="shared" si="9"/>
        <v>0.3860116578550446</v>
      </c>
      <c r="BG6" s="20">
        <f t="shared" si="10"/>
        <v>0.14900500000000003</v>
      </c>
      <c r="BH6" s="8">
        <v>1.28</v>
      </c>
      <c r="BI6" s="20">
        <f t="shared" si="11"/>
        <v>3.8415999999998764E-2</v>
      </c>
      <c r="BJ6" s="1" t="s">
        <v>97</v>
      </c>
    </row>
    <row r="7" spans="1:62">
      <c r="A7" s="3" t="s">
        <v>14</v>
      </c>
      <c r="B7" s="3">
        <v>525</v>
      </c>
      <c r="C7" s="3">
        <v>-0.78</v>
      </c>
      <c r="E7" s="3" t="s">
        <v>15</v>
      </c>
      <c r="F7" s="3">
        <v>354</v>
      </c>
      <c r="G7" s="3">
        <v>1.26</v>
      </c>
      <c r="J7" s="15" t="s">
        <v>45</v>
      </c>
      <c r="K7" s="15" t="s">
        <v>46</v>
      </c>
      <c r="L7" s="3" t="s">
        <v>16</v>
      </c>
      <c r="M7" s="3" t="s">
        <v>51</v>
      </c>
      <c r="N7" s="1" t="s">
        <v>60</v>
      </c>
      <c r="O7" s="20">
        <v>-5.4580000000000002</v>
      </c>
      <c r="P7" s="20">
        <v>0.16700000000000001</v>
      </c>
      <c r="Q7" s="20">
        <v>-5.8310000000000004</v>
      </c>
      <c r="R7" s="20">
        <v>4.1000000000000002E-2</v>
      </c>
      <c r="S7" s="20">
        <f t="shared" si="0"/>
        <v>0.37300000000000022</v>
      </c>
      <c r="T7" s="20">
        <f t="shared" si="1"/>
        <v>0.1719592975096142</v>
      </c>
      <c r="U7" s="20">
        <f t="shared" si="2"/>
        <v>2.9570000000000006E-2</v>
      </c>
      <c r="V7" s="8">
        <v>1.35</v>
      </c>
      <c r="W7" s="20">
        <f t="shared" si="3"/>
        <v>0.95452899999999974</v>
      </c>
      <c r="X7" s="9" t="s">
        <v>66</v>
      </c>
      <c r="AA7" s="15" t="s">
        <v>82</v>
      </c>
      <c r="AB7" s="15" t="s">
        <v>46</v>
      </c>
      <c r="AC7" s="3" t="s">
        <v>13</v>
      </c>
      <c r="AD7" s="3" t="s">
        <v>49</v>
      </c>
      <c r="AE7" s="1" t="s">
        <v>58</v>
      </c>
      <c r="AF7" s="20">
        <v>12.587</v>
      </c>
      <c r="AG7" s="20">
        <v>0.14499999999999999</v>
      </c>
      <c r="AH7" s="20">
        <v>11.454000000000001</v>
      </c>
      <c r="AI7" s="20">
        <v>0.09</v>
      </c>
      <c r="AJ7" s="20">
        <f t="shared" si="4"/>
        <v>1.1329999999999991</v>
      </c>
      <c r="AK7" s="20">
        <f t="shared" si="5"/>
        <v>0.1706604816587601</v>
      </c>
      <c r="AL7" s="20">
        <f t="shared" si="6"/>
        <v>2.9124999999999995E-2</v>
      </c>
      <c r="AM7" s="8">
        <v>-1.28</v>
      </c>
      <c r="AN7" s="20">
        <f t="shared" si="7"/>
        <v>5.822568999999997</v>
      </c>
      <c r="AO7" s="1" t="s">
        <v>95</v>
      </c>
      <c r="AV7" s="15" t="s">
        <v>101</v>
      </c>
      <c r="AW7" s="15" t="s">
        <v>46</v>
      </c>
      <c r="AX7" s="3" t="s">
        <v>13</v>
      </c>
      <c r="AY7" s="3" t="s">
        <v>49</v>
      </c>
      <c r="AZ7" s="1" t="s">
        <v>58</v>
      </c>
      <c r="BA7" s="20">
        <v>12.144</v>
      </c>
      <c r="BB7" s="20">
        <v>0.20499999999999999</v>
      </c>
      <c r="BC7" s="20">
        <v>11.46</v>
      </c>
      <c r="BD7" s="20">
        <v>0.08</v>
      </c>
      <c r="BE7" s="20">
        <f t="shared" si="8"/>
        <v>0.68399999999999928</v>
      </c>
      <c r="BF7" s="20">
        <f t="shared" si="9"/>
        <v>0.22005681084665385</v>
      </c>
      <c r="BG7" s="20">
        <f t="shared" si="10"/>
        <v>4.8424999999999989E-2</v>
      </c>
      <c r="BH7" s="8">
        <v>-1.28</v>
      </c>
      <c r="BI7" s="20">
        <f t="shared" si="11"/>
        <v>3.8572959999999972</v>
      </c>
      <c r="BJ7" s="1" t="s">
        <v>99</v>
      </c>
    </row>
    <row r="8" spans="1:62">
      <c r="E8" s="3" t="s">
        <v>16</v>
      </c>
      <c r="F8" s="3">
        <v>356</v>
      </c>
      <c r="G8" s="3">
        <v>1.35</v>
      </c>
      <c r="J8" s="15" t="s">
        <v>45</v>
      </c>
      <c r="K8" s="15" t="s">
        <v>46</v>
      </c>
      <c r="L8" s="3" t="s">
        <v>17</v>
      </c>
      <c r="M8" s="3" t="s">
        <v>52</v>
      </c>
      <c r="N8" s="1" t="s">
        <v>61</v>
      </c>
      <c r="O8" s="20">
        <v>70.745000000000005</v>
      </c>
      <c r="P8" s="20">
        <v>0.434</v>
      </c>
      <c r="Q8" s="20">
        <v>70.069999999999993</v>
      </c>
      <c r="R8" s="20">
        <v>0.04</v>
      </c>
      <c r="S8" s="20">
        <f t="shared" si="0"/>
        <v>0.67500000000001137</v>
      </c>
      <c r="T8" s="20">
        <f t="shared" si="1"/>
        <v>0.43583941997024545</v>
      </c>
      <c r="U8" s="20">
        <f t="shared" si="2"/>
        <v>0.18995599999999999</v>
      </c>
      <c r="V8" s="8">
        <v>1.76</v>
      </c>
      <c r="W8" s="20">
        <f t="shared" si="3"/>
        <v>1.1772249999999753</v>
      </c>
      <c r="X8" s="9" t="s">
        <v>66</v>
      </c>
      <c r="AA8" s="15" t="s">
        <v>82</v>
      </c>
      <c r="AB8" s="15" t="s">
        <v>46</v>
      </c>
      <c r="AC8" s="3" t="s">
        <v>15</v>
      </c>
      <c r="AD8" s="3" t="s">
        <v>50</v>
      </c>
      <c r="AE8" s="1" t="s">
        <v>59</v>
      </c>
      <c r="AF8" s="20">
        <v>15.212999999999999</v>
      </c>
      <c r="AG8" s="20">
        <v>0.249</v>
      </c>
      <c r="AH8" s="20">
        <v>13.407999999999999</v>
      </c>
      <c r="AI8" s="20">
        <v>7.0000000000000007E-2</v>
      </c>
      <c r="AJ8" s="20">
        <f t="shared" si="4"/>
        <v>1.8049999999999997</v>
      </c>
      <c r="AK8" s="20">
        <f t="shared" si="5"/>
        <v>0.25865227623200998</v>
      </c>
      <c r="AL8" s="20">
        <f t="shared" si="6"/>
        <v>6.6901000000000002E-2</v>
      </c>
      <c r="AM8" s="8">
        <v>1.26</v>
      </c>
      <c r="AN8" s="20">
        <f t="shared" si="7"/>
        <v>0.29702499999999971</v>
      </c>
      <c r="AO8" s="1" t="s">
        <v>95</v>
      </c>
      <c r="AV8" s="15" t="s">
        <v>101</v>
      </c>
      <c r="AW8" s="15" t="s">
        <v>46</v>
      </c>
      <c r="AX8" s="3" t="s">
        <v>15</v>
      </c>
      <c r="AY8" s="3" t="s">
        <v>50</v>
      </c>
      <c r="AZ8" s="1" t="s">
        <v>59</v>
      </c>
      <c r="BA8" s="20">
        <v>14.170999999999999</v>
      </c>
      <c r="BB8" s="20">
        <v>0.23200000000000001</v>
      </c>
      <c r="BC8" s="20">
        <v>13.475</v>
      </c>
      <c r="BD8" s="20">
        <v>0.1</v>
      </c>
      <c r="BE8" s="20">
        <f t="shared" si="8"/>
        <v>0.69599999999999973</v>
      </c>
      <c r="BF8" s="20">
        <f t="shared" si="9"/>
        <v>0.25263412279421005</v>
      </c>
      <c r="BG8" s="20">
        <f t="shared" si="10"/>
        <v>6.3824000000000006E-2</v>
      </c>
      <c r="BH8" s="8">
        <v>1.26</v>
      </c>
      <c r="BI8" s="20">
        <f t="shared" si="11"/>
        <v>0.31809600000000032</v>
      </c>
      <c r="BJ8" s="1" t="s">
        <v>99</v>
      </c>
    </row>
    <row r="9" spans="1:62">
      <c r="E9" s="3" t="s">
        <v>17</v>
      </c>
      <c r="F9" s="3">
        <v>357</v>
      </c>
      <c r="G9" s="3">
        <v>1.76</v>
      </c>
      <c r="J9" s="15" t="s">
        <v>45</v>
      </c>
      <c r="K9" s="15" t="s">
        <v>46</v>
      </c>
      <c r="L9" s="3" t="s">
        <v>20</v>
      </c>
      <c r="M9" s="3" t="s">
        <v>53</v>
      </c>
      <c r="N9" s="1" t="s">
        <v>62</v>
      </c>
      <c r="O9" s="20">
        <v>46.478000000000002</v>
      </c>
      <c r="P9" s="20">
        <v>0.28399999999999997</v>
      </c>
      <c r="Q9" s="20">
        <v>46.073999999999998</v>
      </c>
      <c r="R9" s="20">
        <v>0.06</v>
      </c>
      <c r="S9" s="20">
        <f t="shared" si="0"/>
        <v>0.40400000000000347</v>
      </c>
      <c r="T9" s="20">
        <f t="shared" si="1"/>
        <v>0.29026884090442778</v>
      </c>
      <c r="U9" s="20">
        <f t="shared" si="2"/>
        <v>8.4256000000000011E-2</v>
      </c>
      <c r="V9" s="8">
        <v>-0.35</v>
      </c>
      <c r="W9" s="20">
        <f t="shared" si="3"/>
        <v>0.56851600000000524</v>
      </c>
      <c r="X9" s="9" t="s">
        <v>66</v>
      </c>
      <c r="AA9" s="15" t="s">
        <v>82</v>
      </c>
      <c r="AB9" s="15" t="s">
        <v>46</v>
      </c>
      <c r="AC9" s="3" t="s">
        <v>16</v>
      </c>
      <c r="AD9" s="3" t="s">
        <v>51</v>
      </c>
      <c r="AE9" s="1" t="s">
        <v>60</v>
      </c>
      <c r="AF9" s="20">
        <v>-5.4050000000000002</v>
      </c>
      <c r="AG9" s="20">
        <v>0.22500000000000001</v>
      </c>
      <c r="AH9" s="20">
        <v>-6.15</v>
      </c>
      <c r="AI9" s="20">
        <v>9.0999999999999998E-2</v>
      </c>
      <c r="AJ9" s="20">
        <f t="shared" si="4"/>
        <v>0.74500000000000011</v>
      </c>
      <c r="AK9" s="20">
        <f t="shared" si="5"/>
        <v>0.24270558296009592</v>
      </c>
      <c r="AL9" s="20">
        <f t="shared" si="6"/>
        <v>5.8906000000000007E-2</v>
      </c>
      <c r="AM9" s="8">
        <v>1.35</v>
      </c>
      <c r="AN9" s="20">
        <f t="shared" si="7"/>
        <v>0.36602499999999999</v>
      </c>
      <c r="AO9" s="1" t="s">
        <v>95</v>
      </c>
      <c r="AV9" s="15" t="s">
        <v>101</v>
      </c>
      <c r="AW9" s="15" t="s">
        <v>46</v>
      </c>
      <c r="AX9" s="3" t="s">
        <v>16</v>
      </c>
      <c r="AY9" s="3" t="s">
        <v>51</v>
      </c>
      <c r="AZ9" s="1" t="s">
        <v>60</v>
      </c>
      <c r="BA9" s="20">
        <v>-5.2069999999999999</v>
      </c>
      <c r="BB9" s="20">
        <v>0.113</v>
      </c>
      <c r="BC9" s="20">
        <v>-6.3109999999999999</v>
      </c>
      <c r="BD9" s="20">
        <v>4.8000000000000001E-2</v>
      </c>
      <c r="BE9" s="20">
        <f t="shared" si="8"/>
        <v>1.1040000000000001</v>
      </c>
      <c r="BF9" s="20">
        <f t="shared" si="9"/>
        <v>0.12277214667830812</v>
      </c>
      <c r="BG9" s="20">
        <f t="shared" si="10"/>
        <v>1.5073000000000003E-2</v>
      </c>
      <c r="BH9" s="8">
        <v>1.35</v>
      </c>
      <c r="BI9" s="20">
        <f t="shared" si="11"/>
        <v>6.0516E-2</v>
      </c>
      <c r="BJ9" s="1" t="s">
        <v>99</v>
      </c>
    </row>
    <row r="10" spans="1:62">
      <c r="E10" s="3" t="s">
        <v>18</v>
      </c>
      <c r="F10" s="3">
        <v>358</v>
      </c>
      <c r="G10" s="3">
        <v>0.54</v>
      </c>
      <c r="J10" s="15" t="s">
        <v>45</v>
      </c>
      <c r="K10" s="15" t="s">
        <v>46</v>
      </c>
      <c r="L10" s="3" t="s">
        <v>22</v>
      </c>
      <c r="M10" s="3" t="s">
        <v>54</v>
      </c>
      <c r="N10" s="1" t="s">
        <v>63</v>
      </c>
      <c r="O10" s="20">
        <v>-2.585</v>
      </c>
      <c r="P10" s="20">
        <v>0.11799999999999999</v>
      </c>
      <c r="Q10" s="20">
        <v>-2.673</v>
      </c>
      <c r="R10" s="20">
        <v>0.21</v>
      </c>
      <c r="S10" s="20">
        <f t="shared" si="0"/>
        <v>8.8000000000000078E-2</v>
      </c>
      <c r="T10" s="20">
        <f t="shared" si="1"/>
        <v>0.24088171371027731</v>
      </c>
      <c r="U10" s="20">
        <f t="shared" si="2"/>
        <v>5.8023999999999999E-2</v>
      </c>
      <c r="V10" s="8">
        <v>0.52</v>
      </c>
      <c r="W10" s="20">
        <f t="shared" si="3"/>
        <v>0.18662399999999996</v>
      </c>
      <c r="X10" s="9" t="s">
        <v>66</v>
      </c>
      <c r="AA10" s="15" t="s">
        <v>82</v>
      </c>
      <c r="AB10" s="15" t="s">
        <v>46</v>
      </c>
      <c r="AC10" s="3" t="s">
        <v>17</v>
      </c>
      <c r="AD10" s="3" t="s">
        <v>52</v>
      </c>
      <c r="AE10" s="1" t="s">
        <v>61</v>
      </c>
      <c r="AF10" s="20">
        <v>69.421000000000006</v>
      </c>
      <c r="AG10" s="20">
        <v>0.41299999999999998</v>
      </c>
      <c r="AH10" s="20">
        <v>70.144000000000005</v>
      </c>
      <c r="AI10" s="20">
        <v>2.5999999999999999E-2</v>
      </c>
      <c r="AJ10" s="20">
        <f t="shared" si="4"/>
        <v>-0.72299999999999898</v>
      </c>
      <c r="AK10" s="20">
        <f t="shared" si="5"/>
        <v>0.41381759266614077</v>
      </c>
      <c r="AL10" s="20">
        <f t="shared" si="6"/>
        <v>0.17124500000000001</v>
      </c>
      <c r="AM10" s="8">
        <v>1.76</v>
      </c>
      <c r="AN10" s="20">
        <f t="shared" si="7"/>
        <v>6.1652889999999942</v>
      </c>
      <c r="AO10" s="1" t="s">
        <v>98</v>
      </c>
      <c r="AV10" s="15" t="s">
        <v>101</v>
      </c>
      <c r="AW10" s="15" t="s">
        <v>46</v>
      </c>
      <c r="AX10" s="3" t="s">
        <v>17</v>
      </c>
      <c r="AY10" s="3" t="s">
        <v>52</v>
      </c>
      <c r="AZ10" s="1" t="s">
        <v>61</v>
      </c>
      <c r="BA10" s="20">
        <v>69.168000000000006</v>
      </c>
      <c r="BB10" s="20">
        <v>0.27700000000000002</v>
      </c>
      <c r="BC10" s="20">
        <v>70.206999999999994</v>
      </c>
      <c r="BD10" s="20">
        <v>2.9000000000000001E-2</v>
      </c>
      <c r="BE10" s="20">
        <f t="shared" si="8"/>
        <v>-1.0389999999999873</v>
      </c>
      <c r="BF10" s="20">
        <f t="shared" si="9"/>
        <v>0.27851391347650839</v>
      </c>
      <c r="BG10" s="20">
        <f t="shared" si="10"/>
        <v>7.757E-2</v>
      </c>
      <c r="BH10" s="8">
        <v>1.76</v>
      </c>
      <c r="BI10" s="20">
        <f t="shared" si="11"/>
        <v>7.8344009999999278</v>
      </c>
      <c r="BJ10" s="1" t="s">
        <v>99</v>
      </c>
    </row>
    <row r="11" spans="1:62">
      <c r="B11" s="5" t="s">
        <v>19</v>
      </c>
      <c r="E11" s="3" t="s">
        <v>20</v>
      </c>
      <c r="F11" s="3">
        <v>363</v>
      </c>
      <c r="G11" s="3">
        <v>-0.35</v>
      </c>
      <c r="J11" s="15" t="s">
        <v>45</v>
      </c>
      <c r="K11" s="15" t="s">
        <v>46</v>
      </c>
      <c r="L11" s="3" t="s">
        <v>23</v>
      </c>
      <c r="M11" s="3" t="s">
        <v>55</v>
      </c>
      <c r="N11" s="1" t="s">
        <v>64</v>
      </c>
      <c r="O11" s="20">
        <v>-4.8170000000000002</v>
      </c>
      <c r="P11" s="20">
        <v>0.20200000000000001</v>
      </c>
      <c r="Q11" s="20">
        <v>-5.0739999999999998</v>
      </c>
      <c r="R11" s="20">
        <v>7.3999999999999996E-2</v>
      </c>
      <c r="S11" s="20">
        <f t="shared" si="0"/>
        <v>0.25699999999999967</v>
      </c>
      <c r="T11" s="20">
        <f t="shared" si="1"/>
        <v>0.21512786895239772</v>
      </c>
      <c r="U11" s="20">
        <f t="shared" si="2"/>
        <v>4.6280000000000009E-2</v>
      </c>
      <c r="V11" s="8">
        <v>1.08</v>
      </c>
      <c r="W11" s="20">
        <f t="shared" si="3"/>
        <v>0.67732900000000063</v>
      </c>
      <c r="X11" s="9" t="s">
        <v>66</v>
      </c>
      <c r="AA11" s="15" t="s">
        <v>82</v>
      </c>
      <c r="AB11" s="15" t="s">
        <v>46</v>
      </c>
      <c r="AC11" s="3" t="s">
        <v>18</v>
      </c>
      <c r="AD11" s="3" t="s">
        <v>85</v>
      </c>
      <c r="AE11" s="1" t="s">
        <v>91</v>
      </c>
      <c r="AF11" s="20">
        <v>-6.8070000000000004</v>
      </c>
      <c r="AG11" s="20">
        <v>0.33900000000000002</v>
      </c>
      <c r="AH11" s="20">
        <v>-6.8540000000000001</v>
      </c>
      <c r="AI11" s="20">
        <v>0.27700000000000002</v>
      </c>
      <c r="AJ11" s="20">
        <f t="shared" si="4"/>
        <v>4.6999999999999709E-2</v>
      </c>
      <c r="AK11" s="20">
        <f t="shared" si="5"/>
        <v>0.4377784827969507</v>
      </c>
      <c r="AL11" s="20">
        <f t="shared" si="6"/>
        <v>0.19165000000000007</v>
      </c>
      <c r="AM11" s="8">
        <v>0.54</v>
      </c>
      <c r="AN11" s="20">
        <f t="shared" si="7"/>
        <v>0.24304900000000032</v>
      </c>
      <c r="AO11" s="1" t="s">
        <v>95</v>
      </c>
      <c r="AV11" s="15" t="s">
        <v>101</v>
      </c>
      <c r="AW11" s="15" t="s">
        <v>46</v>
      </c>
      <c r="AX11" s="3" t="s">
        <v>18</v>
      </c>
      <c r="AY11" s="3" t="s">
        <v>85</v>
      </c>
      <c r="AZ11" s="1" t="s">
        <v>91</v>
      </c>
      <c r="BA11" s="20">
        <v>-5.6740000000000004</v>
      </c>
      <c r="BB11" s="20">
        <v>0.216</v>
      </c>
      <c r="BC11" s="20">
        <v>-7.0250000000000004</v>
      </c>
      <c r="BD11" s="20">
        <v>0.20300000000000001</v>
      </c>
      <c r="BE11" s="20">
        <f t="shared" si="8"/>
        <v>1.351</v>
      </c>
      <c r="BF11" s="20">
        <f t="shared" si="9"/>
        <v>0.29642030969554028</v>
      </c>
      <c r="BG11" s="20">
        <f t="shared" si="10"/>
        <v>8.7865000000000013E-2</v>
      </c>
      <c r="BH11" s="8">
        <v>0.54</v>
      </c>
      <c r="BI11" s="20">
        <f t="shared" si="11"/>
        <v>0.65772099999999989</v>
      </c>
      <c r="BJ11" s="1" t="s">
        <v>99</v>
      </c>
    </row>
    <row r="12" spans="1:62">
      <c r="A12" s="1" t="s">
        <v>21</v>
      </c>
      <c r="B12" s="7"/>
      <c r="E12" s="3" t="s">
        <v>22</v>
      </c>
      <c r="F12" s="3">
        <v>368</v>
      </c>
      <c r="G12" s="3">
        <v>0.52</v>
      </c>
      <c r="J12" s="15" t="s">
        <v>45</v>
      </c>
      <c r="K12" s="15" t="s">
        <v>46</v>
      </c>
      <c r="L12" s="8" t="s">
        <v>27</v>
      </c>
      <c r="M12" s="9" t="s">
        <v>28</v>
      </c>
      <c r="N12" s="1" t="s">
        <v>65</v>
      </c>
      <c r="O12" s="20">
        <v>-8.2720000000000002</v>
      </c>
      <c r="P12" s="20">
        <v>0.20599999999999999</v>
      </c>
      <c r="Q12" s="20">
        <v>-8.3350000000000009</v>
      </c>
      <c r="R12" s="20">
        <v>0.154</v>
      </c>
      <c r="S12" s="20">
        <f t="shared" si="0"/>
        <v>6.3000000000000611E-2</v>
      </c>
      <c r="T12" s="20">
        <f t="shared" si="1"/>
        <v>0.25720031104180258</v>
      </c>
      <c r="U12" s="20">
        <f t="shared" si="2"/>
        <v>6.6151999999999989E-2</v>
      </c>
      <c r="V12" s="9">
        <v>-0.21</v>
      </c>
      <c r="W12" s="20">
        <f t="shared" si="3"/>
        <v>7.4529000000000317E-2</v>
      </c>
      <c r="X12" s="9" t="s">
        <v>66</v>
      </c>
      <c r="AA12" s="15" t="s">
        <v>82</v>
      </c>
      <c r="AB12" s="15" t="s">
        <v>46</v>
      </c>
      <c r="AC12" s="3" t="s">
        <v>20</v>
      </c>
      <c r="AD12" s="3" t="s">
        <v>53</v>
      </c>
      <c r="AE12" s="1" t="s">
        <v>62</v>
      </c>
      <c r="AF12" s="20">
        <v>46.38</v>
      </c>
      <c r="AG12" s="20">
        <v>0.126</v>
      </c>
      <c r="AH12" s="20">
        <v>45.868000000000002</v>
      </c>
      <c r="AI12" s="20">
        <v>0.08</v>
      </c>
      <c r="AJ12" s="20">
        <f t="shared" si="4"/>
        <v>0.51200000000000045</v>
      </c>
      <c r="AK12" s="20">
        <f t="shared" si="5"/>
        <v>0.14925146565444508</v>
      </c>
      <c r="AL12" s="20">
        <f t="shared" si="6"/>
        <v>2.2276000000000001E-2</v>
      </c>
      <c r="AM12" s="8">
        <v>-0.35</v>
      </c>
      <c r="AN12" s="20">
        <f t="shared" si="7"/>
        <v>0.7430440000000007</v>
      </c>
      <c r="AO12" s="1" t="s">
        <v>95</v>
      </c>
      <c r="AV12" s="15" t="s">
        <v>101</v>
      </c>
      <c r="AW12" s="15" t="s">
        <v>46</v>
      </c>
      <c r="AX12" s="3" t="s">
        <v>20</v>
      </c>
      <c r="AY12" s="3" t="s">
        <v>53</v>
      </c>
      <c r="AZ12" s="1" t="s">
        <v>62</v>
      </c>
      <c r="BA12" s="20">
        <v>46.331000000000003</v>
      </c>
      <c r="BB12" s="20">
        <v>0.16800000000000001</v>
      </c>
      <c r="BC12" s="20">
        <v>46.075000000000003</v>
      </c>
      <c r="BD12" s="20">
        <v>4.8000000000000001E-2</v>
      </c>
      <c r="BE12" s="20">
        <f t="shared" si="8"/>
        <v>0.25600000000000023</v>
      </c>
      <c r="BF12" s="20">
        <f t="shared" si="9"/>
        <v>0.17472263734273244</v>
      </c>
      <c r="BG12" s="20">
        <f t="shared" si="10"/>
        <v>3.0528E-2</v>
      </c>
      <c r="BH12" s="8">
        <v>-0.35</v>
      </c>
      <c r="BI12" s="20">
        <f t="shared" si="11"/>
        <v>0.36723600000000023</v>
      </c>
      <c r="BJ12" s="1" t="s">
        <v>99</v>
      </c>
    </row>
    <row r="13" spans="1:62">
      <c r="E13" s="3" t="s">
        <v>23</v>
      </c>
      <c r="F13" s="3">
        <v>372</v>
      </c>
      <c r="G13" s="3">
        <v>1.08</v>
      </c>
      <c r="J13" s="15"/>
      <c r="K13" s="15"/>
      <c r="O13" s="20"/>
      <c r="P13" s="20"/>
      <c r="Q13" s="20"/>
      <c r="R13" s="20"/>
      <c r="S13" s="20"/>
      <c r="T13" s="20"/>
      <c r="U13" s="18" t="s">
        <v>67</v>
      </c>
      <c r="V13" s="18"/>
      <c r="W13" s="18" t="s">
        <v>67</v>
      </c>
      <c r="AA13" s="15" t="s">
        <v>82</v>
      </c>
      <c r="AB13" s="15" t="s">
        <v>46</v>
      </c>
      <c r="AC13" s="3" t="s">
        <v>22</v>
      </c>
      <c r="AD13" s="3" t="s">
        <v>54</v>
      </c>
      <c r="AE13" s="1" t="s">
        <v>63</v>
      </c>
      <c r="AF13" s="20">
        <v>-2.5150000000000001</v>
      </c>
      <c r="AG13" s="20">
        <v>0.13100000000000001</v>
      </c>
      <c r="AH13" s="20">
        <v>-2.371</v>
      </c>
      <c r="AI13" s="20">
        <v>0.10299999999999999</v>
      </c>
      <c r="AJ13" s="20">
        <f t="shared" si="4"/>
        <v>-0.14400000000000013</v>
      </c>
      <c r="AK13" s="20">
        <f t="shared" si="5"/>
        <v>0.1666433316997713</v>
      </c>
      <c r="AL13" s="20">
        <f t="shared" si="6"/>
        <v>2.7770000000000003E-2</v>
      </c>
      <c r="AM13" s="8">
        <v>0.52</v>
      </c>
      <c r="AN13" s="20">
        <f t="shared" si="7"/>
        <v>0.44089600000000018</v>
      </c>
      <c r="AO13" s="1" t="s">
        <v>95</v>
      </c>
      <c r="AV13" s="15" t="s">
        <v>101</v>
      </c>
      <c r="AW13" s="15" t="s">
        <v>46</v>
      </c>
      <c r="AX13" s="3" t="s">
        <v>22</v>
      </c>
      <c r="AY13" s="3" t="s">
        <v>54</v>
      </c>
      <c r="AZ13" s="1" t="s">
        <v>63</v>
      </c>
      <c r="BA13" s="20">
        <v>-2.5760000000000001</v>
      </c>
      <c r="BB13" s="20">
        <v>5.2999999999999999E-2</v>
      </c>
      <c r="BC13" s="20">
        <v>-2.5590000000000002</v>
      </c>
      <c r="BD13" s="20">
        <v>7.3999999999999996E-2</v>
      </c>
      <c r="BE13" s="20">
        <f t="shared" si="8"/>
        <v>-1.6999999999999904E-2</v>
      </c>
      <c r="BF13" s="20">
        <f t="shared" si="9"/>
        <v>9.1021975368588873E-2</v>
      </c>
      <c r="BG13" s="20">
        <f t="shared" si="10"/>
        <v>8.284999999999999E-3</v>
      </c>
      <c r="BH13" s="8">
        <v>0.52</v>
      </c>
      <c r="BI13" s="20">
        <f t="shared" si="11"/>
        <v>0.28836899999999993</v>
      </c>
      <c r="BJ13" s="1" t="s">
        <v>99</v>
      </c>
    </row>
    <row r="14" spans="1:62">
      <c r="E14" s="6" t="s">
        <v>24</v>
      </c>
      <c r="F14" s="3">
        <v>402</v>
      </c>
      <c r="G14" s="3">
        <v>1.42</v>
      </c>
      <c r="O14" s="20"/>
      <c r="P14" s="20"/>
      <c r="Q14" s="20"/>
      <c r="R14" s="20"/>
      <c r="S14" s="20"/>
      <c r="T14" s="20"/>
      <c r="U14" s="20">
        <f>SUM(U3:U12)</f>
        <v>0.88115399999999988</v>
      </c>
      <c r="V14" s="20"/>
      <c r="W14" s="20">
        <f>SUM(W3:W12)</f>
        <v>4.8261439999999807</v>
      </c>
      <c r="AA14" s="15" t="s">
        <v>82</v>
      </c>
      <c r="AB14" s="15" t="s">
        <v>46</v>
      </c>
      <c r="AC14" s="3" t="s">
        <v>23</v>
      </c>
      <c r="AD14" s="3" t="s">
        <v>55</v>
      </c>
      <c r="AE14" s="1" t="s">
        <v>64</v>
      </c>
      <c r="AF14" s="20">
        <v>-4.2750000000000004</v>
      </c>
      <c r="AG14" s="20">
        <v>0.29199999999999998</v>
      </c>
      <c r="AH14" s="20">
        <v>-4.6749999999999998</v>
      </c>
      <c r="AI14" s="20">
        <v>0.09</v>
      </c>
      <c r="AJ14" s="20">
        <f t="shared" si="4"/>
        <v>0.39999999999999947</v>
      </c>
      <c r="AK14" s="20">
        <f t="shared" si="5"/>
        <v>0.30555523232306137</v>
      </c>
      <c r="AL14" s="20">
        <f t="shared" si="6"/>
        <v>9.3364000000000003E-2</v>
      </c>
      <c r="AM14" s="8">
        <v>1.08</v>
      </c>
      <c r="AN14" s="20">
        <f t="shared" si="7"/>
        <v>0.46240000000000081</v>
      </c>
      <c r="AO14" s="1" t="s">
        <v>95</v>
      </c>
      <c r="AV14" s="15" t="s">
        <v>101</v>
      </c>
      <c r="AW14" s="15" t="s">
        <v>46</v>
      </c>
      <c r="AX14" s="3" t="s">
        <v>23</v>
      </c>
      <c r="AY14" s="3" t="s">
        <v>55</v>
      </c>
      <c r="AZ14" s="1" t="s">
        <v>64</v>
      </c>
      <c r="BA14" s="20">
        <v>-4.0140000000000002</v>
      </c>
      <c r="BB14" s="20">
        <v>0.20300000000000001</v>
      </c>
      <c r="BC14" s="20">
        <v>-4.47</v>
      </c>
      <c r="BD14" s="20">
        <v>0.13700000000000001</v>
      </c>
      <c r="BE14" s="20">
        <f t="shared" si="8"/>
        <v>0.45599999999999952</v>
      </c>
      <c r="BF14" s="20">
        <f t="shared" si="9"/>
        <v>0.24490406284910834</v>
      </c>
      <c r="BG14" s="20">
        <f t="shared" si="10"/>
        <v>5.997800000000001E-2</v>
      </c>
      <c r="BH14" s="8">
        <v>1.08</v>
      </c>
      <c r="BI14" s="20">
        <f t="shared" si="11"/>
        <v>0.38937600000000067</v>
      </c>
      <c r="BJ14" s="1" t="s">
        <v>99</v>
      </c>
    </row>
    <row r="15" spans="1:62">
      <c r="E15" s="8" t="s">
        <v>27</v>
      </c>
      <c r="F15" s="9" t="s">
        <v>28</v>
      </c>
      <c r="G15" s="17">
        <v>-0.21</v>
      </c>
      <c r="O15" s="20"/>
      <c r="P15" s="20"/>
      <c r="Q15" s="20"/>
      <c r="R15" s="20"/>
      <c r="S15" s="20"/>
      <c r="T15" s="20"/>
      <c r="U15" s="20"/>
      <c r="V15" s="20"/>
      <c r="W15" s="20"/>
      <c r="AA15" s="15" t="s">
        <v>101</v>
      </c>
      <c r="AB15" s="15" t="s">
        <v>46</v>
      </c>
      <c r="AC15" s="4" t="s">
        <v>24</v>
      </c>
      <c r="AD15" s="3" t="s">
        <v>86</v>
      </c>
      <c r="AE15" s="1" t="s">
        <v>92</v>
      </c>
      <c r="AF15" s="20">
        <v>-8.4879999999999995</v>
      </c>
      <c r="AG15" s="20">
        <v>0.107</v>
      </c>
      <c r="AH15" s="20">
        <v>-9.1780000000000008</v>
      </c>
      <c r="AI15" s="20">
        <v>0.22900000000000001</v>
      </c>
      <c r="AJ15" s="20">
        <f t="shared" si="4"/>
        <v>0.69000000000000128</v>
      </c>
      <c r="AK15" s="20">
        <f t="shared" si="5"/>
        <v>0.25276471272707352</v>
      </c>
      <c r="AL15" s="20">
        <f t="shared" si="6"/>
        <v>6.3890000000000002E-2</v>
      </c>
      <c r="AM15" s="8">
        <v>1.42</v>
      </c>
      <c r="AN15" s="20">
        <f t="shared" si="7"/>
        <v>0.53289999999999804</v>
      </c>
      <c r="AO15" s="1" t="s">
        <v>99</v>
      </c>
      <c r="AV15" s="15" t="s">
        <v>101</v>
      </c>
      <c r="AW15" s="15" t="s">
        <v>46</v>
      </c>
      <c r="AX15" s="4" t="s">
        <v>24</v>
      </c>
      <c r="AY15" s="3" t="s">
        <v>86</v>
      </c>
      <c r="AZ15" s="1" t="s">
        <v>92</v>
      </c>
      <c r="BA15" s="20">
        <v>-8.4879999999999995</v>
      </c>
      <c r="BB15" s="20">
        <v>0.107</v>
      </c>
      <c r="BC15" s="20">
        <v>-9.1780000000000008</v>
      </c>
      <c r="BD15" s="20">
        <v>0.22900000000000001</v>
      </c>
      <c r="BE15" s="20">
        <f t="shared" si="8"/>
        <v>0.69000000000000128</v>
      </c>
      <c r="BF15" s="20">
        <f t="shared" si="9"/>
        <v>0.25276471272707352</v>
      </c>
      <c r="BG15" s="20">
        <f t="shared" si="10"/>
        <v>6.3890000000000002E-2</v>
      </c>
      <c r="BH15" s="8">
        <v>1.42</v>
      </c>
      <c r="BI15" s="20">
        <f t="shared" si="11"/>
        <v>0.53289999999999804</v>
      </c>
      <c r="BJ15" s="1" t="s">
        <v>99</v>
      </c>
    </row>
    <row r="16" spans="1:62">
      <c r="E16" s="3" t="s">
        <v>25</v>
      </c>
      <c r="F16" s="3">
        <v>403</v>
      </c>
      <c r="G16" s="3">
        <v>1.1100000000000001</v>
      </c>
      <c r="O16" s="20"/>
      <c r="P16" s="20"/>
      <c r="Q16" s="20"/>
      <c r="R16" s="20"/>
      <c r="S16" s="20"/>
      <c r="T16" s="20"/>
      <c r="U16" s="20"/>
      <c r="V16" s="19" t="s">
        <v>68</v>
      </c>
      <c r="W16" s="20">
        <f>SQRT(W14/10)</f>
        <v>0.69470454151387129</v>
      </c>
      <c r="AA16" s="15" t="s">
        <v>82</v>
      </c>
      <c r="AB16" s="15" t="s">
        <v>46</v>
      </c>
      <c r="AC16" s="8" t="s">
        <v>27</v>
      </c>
      <c r="AD16" s="9" t="s">
        <v>28</v>
      </c>
      <c r="AE16" s="1" t="s">
        <v>65</v>
      </c>
      <c r="AF16" s="20">
        <v>-8.1370000000000005</v>
      </c>
      <c r="AG16" s="20">
        <v>0.107</v>
      </c>
      <c r="AH16" s="20">
        <v>-8.5500000000000007</v>
      </c>
      <c r="AI16" s="20">
        <v>9.1923879999999999E-2</v>
      </c>
      <c r="AJ16" s="20">
        <f t="shared" si="4"/>
        <v>0.41300000000000026</v>
      </c>
      <c r="AK16" s="20">
        <f t="shared" si="5"/>
        <v>0.14106381433328108</v>
      </c>
      <c r="AL16" s="20">
        <f t="shared" si="6"/>
        <v>1.9898999714254396E-2</v>
      </c>
      <c r="AM16" s="9">
        <v>-0.21</v>
      </c>
      <c r="AN16" s="20">
        <f t="shared" si="7"/>
        <v>0.38812900000000028</v>
      </c>
      <c r="AO16" s="1" t="s">
        <v>95</v>
      </c>
      <c r="AV16" s="15" t="s">
        <v>101</v>
      </c>
      <c r="AW16" s="15" t="s">
        <v>46</v>
      </c>
      <c r="AX16" s="8" t="s">
        <v>27</v>
      </c>
      <c r="AY16" s="9" t="s">
        <v>28</v>
      </c>
      <c r="AZ16" s="1" t="s">
        <v>65</v>
      </c>
      <c r="BA16" s="20">
        <v>-8.32</v>
      </c>
      <c r="BB16" s="20">
        <v>8.1394099999999997E-2</v>
      </c>
      <c r="BC16" s="20">
        <v>-8.6389999999999993</v>
      </c>
      <c r="BD16" s="20">
        <v>2.4413109999999998E-2</v>
      </c>
      <c r="BE16" s="20">
        <f t="shared" si="8"/>
        <v>0.31899999999999906</v>
      </c>
      <c r="BF16" s="20">
        <f t="shared" si="9"/>
        <v>8.4976464122026751E-2</v>
      </c>
      <c r="BG16" s="20">
        <f t="shared" si="10"/>
        <v>7.2209994546820998E-3</v>
      </c>
      <c r="BH16" s="9">
        <v>-0.21</v>
      </c>
      <c r="BI16" s="20">
        <f t="shared" si="11"/>
        <v>0.27984099999999895</v>
      </c>
      <c r="BJ16" s="1" t="s">
        <v>99</v>
      </c>
    </row>
    <row r="17" spans="5:62">
      <c r="E17" s="3" t="s">
        <v>26</v>
      </c>
      <c r="F17" s="3">
        <v>404</v>
      </c>
      <c r="G17" s="3">
        <v>4.45</v>
      </c>
      <c r="O17" s="20"/>
      <c r="P17" s="20"/>
      <c r="Q17" s="20"/>
      <c r="R17" s="20"/>
      <c r="S17" s="20"/>
      <c r="T17" s="20"/>
      <c r="U17" s="20"/>
      <c r="V17" s="19" t="s">
        <v>40</v>
      </c>
      <c r="W17" s="20">
        <f>SQRT(U14/10)</f>
        <v>0.29684238241868355</v>
      </c>
      <c r="AA17" s="15" t="s">
        <v>82</v>
      </c>
      <c r="AB17" s="15" t="s">
        <v>46</v>
      </c>
      <c r="AC17" s="3" t="s">
        <v>25</v>
      </c>
      <c r="AD17" s="3" t="s">
        <v>87</v>
      </c>
      <c r="AE17" s="1" t="s">
        <v>93</v>
      </c>
      <c r="AF17" s="20">
        <v>71.343999999999994</v>
      </c>
      <c r="AG17" s="20">
        <v>0.19900000000000001</v>
      </c>
      <c r="AH17" s="20">
        <v>69.974999999999994</v>
      </c>
      <c r="AI17" s="20">
        <v>0.26800000000000002</v>
      </c>
      <c r="AJ17" s="20">
        <f t="shared" si="4"/>
        <v>1.3689999999999998</v>
      </c>
      <c r="AK17" s="20">
        <f t="shared" si="5"/>
        <v>0.33380383460949042</v>
      </c>
      <c r="AL17" s="20">
        <f t="shared" si="6"/>
        <v>0.11142500000000004</v>
      </c>
      <c r="AM17" s="8">
        <v>1.1100000000000001</v>
      </c>
      <c r="AN17" s="20">
        <f t="shared" si="7"/>
        <v>6.7080999999999835E-2</v>
      </c>
      <c r="AO17" s="1" t="s">
        <v>95</v>
      </c>
      <c r="AV17" s="15" t="s">
        <v>101</v>
      </c>
      <c r="AW17" s="15" t="s">
        <v>46</v>
      </c>
      <c r="AX17" s="3" t="s">
        <v>25</v>
      </c>
      <c r="AY17" s="3" t="s">
        <v>87</v>
      </c>
      <c r="AZ17" s="1" t="s">
        <v>93</v>
      </c>
      <c r="BA17" s="20">
        <v>71.227999999999994</v>
      </c>
      <c r="BB17" s="20">
        <v>0.373</v>
      </c>
      <c r="BC17" s="20">
        <v>69.39</v>
      </c>
      <c r="BD17" s="20">
        <v>0.107</v>
      </c>
      <c r="BE17" s="20">
        <f>BA17-BC17</f>
        <v>1.8379999999999939</v>
      </c>
      <c r="BF17" s="20">
        <f>SQRT((BB17)^2 + (BD17)^2)</f>
        <v>0.38804381195942295</v>
      </c>
      <c r="BG17" s="20">
        <f>BF17^2</f>
        <v>0.15057799999999999</v>
      </c>
      <c r="BH17" s="8">
        <v>1.1100000000000001</v>
      </c>
      <c r="BI17" s="20">
        <f>(BE17-BH17)^2</f>
        <v>0.52998399999999091</v>
      </c>
      <c r="BJ17" s="1" t="s">
        <v>99</v>
      </c>
    </row>
    <row r="18" spans="5:62">
      <c r="AA18" s="15" t="s">
        <v>101</v>
      </c>
      <c r="AB18" s="15" t="s">
        <v>46</v>
      </c>
      <c r="AC18" s="3" t="s">
        <v>26</v>
      </c>
      <c r="AD18" s="3" t="s">
        <v>88</v>
      </c>
      <c r="AE18" s="1" t="s">
        <v>94</v>
      </c>
      <c r="AF18" s="20">
        <v>-35.639000000000003</v>
      </c>
      <c r="AG18" s="20">
        <v>0.38500000000000001</v>
      </c>
      <c r="AH18" s="20">
        <v>-40.424999999999997</v>
      </c>
      <c r="AI18" s="20">
        <v>0.127</v>
      </c>
      <c r="AJ18" s="20">
        <f t="shared" si="4"/>
        <v>4.7859999999999943</v>
      </c>
      <c r="AK18" s="20">
        <f t="shared" si="5"/>
        <v>0.4054059693689771</v>
      </c>
      <c r="AL18" s="20">
        <f t="shared" si="6"/>
        <v>0.164354</v>
      </c>
      <c r="AM18" s="8">
        <v>4.45</v>
      </c>
      <c r="AN18" s="20">
        <f t="shared" si="7"/>
        <v>0.11289599999999603</v>
      </c>
      <c r="AO18" s="1" t="s">
        <v>100</v>
      </c>
      <c r="AV18" s="15" t="s">
        <v>101</v>
      </c>
      <c r="AW18" s="15" t="s">
        <v>46</v>
      </c>
      <c r="AX18" s="3" t="s">
        <v>26</v>
      </c>
      <c r="AY18" s="3" t="s">
        <v>88</v>
      </c>
      <c r="AZ18" s="1" t="s">
        <v>94</v>
      </c>
      <c r="BA18" s="20">
        <v>-35.639000000000003</v>
      </c>
      <c r="BB18" s="20">
        <v>0.38500000000000001</v>
      </c>
      <c r="BC18" s="20">
        <v>-40.424999999999997</v>
      </c>
      <c r="BD18" s="20">
        <v>0.127</v>
      </c>
      <c r="BE18" s="20">
        <f>BA18-BC18</f>
        <v>4.7859999999999943</v>
      </c>
      <c r="BF18" s="20">
        <f>SQRT((BB18)^2 + (BD18)^2)</f>
        <v>0.4054059693689771</v>
      </c>
      <c r="BG18" s="20">
        <f>BF18^2</f>
        <v>0.164354</v>
      </c>
      <c r="BH18" s="8">
        <v>4.45</v>
      </c>
      <c r="BI18" s="20">
        <f>(BE18-BH18)^2</f>
        <v>0.11289599999999603</v>
      </c>
      <c r="BJ18" s="1" t="s">
        <v>100</v>
      </c>
    </row>
    <row r="19" spans="5:62" ht="17">
      <c r="J19" s="10" t="s">
        <v>69</v>
      </c>
      <c r="AF19" s="20"/>
      <c r="AG19" s="20"/>
      <c r="AH19" s="20"/>
      <c r="AI19" s="20"/>
      <c r="AJ19" s="20"/>
      <c r="AK19" s="20"/>
      <c r="AL19" s="18" t="s">
        <v>67</v>
      </c>
      <c r="AM19" s="18"/>
      <c r="AN19" s="18" t="s">
        <v>67</v>
      </c>
      <c r="BG19" s="18" t="s">
        <v>67</v>
      </c>
      <c r="BH19" s="18"/>
      <c r="BI19" s="18" t="s">
        <v>67</v>
      </c>
    </row>
    <row r="20" spans="5:62">
      <c r="J20" s="12" t="s">
        <v>30</v>
      </c>
      <c r="K20" s="12" t="s">
        <v>31</v>
      </c>
      <c r="L20" s="13" t="s">
        <v>32</v>
      </c>
      <c r="M20" s="12" t="s">
        <v>33</v>
      </c>
      <c r="N20" s="12" t="s">
        <v>34</v>
      </c>
      <c r="O20" s="12" t="s">
        <v>35</v>
      </c>
      <c r="P20" s="12" t="s">
        <v>36</v>
      </c>
      <c r="Q20" s="12" t="s">
        <v>37</v>
      </c>
      <c r="R20" s="12" t="s">
        <v>38</v>
      </c>
      <c r="S20" s="12" t="s">
        <v>39</v>
      </c>
      <c r="T20" s="14" t="s">
        <v>40</v>
      </c>
      <c r="U20" s="12" t="s">
        <v>41</v>
      </c>
      <c r="V20" s="12" t="s">
        <v>42</v>
      </c>
      <c r="W20" s="12" t="s">
        <v>43</v>
      </c>
      <c r="X20" s="12" t="s">
        <v>44</v>
      </c>
      <c r="AF20" s="20"/>
      <c r="AG20" s="20"/>
      <c r="AH20" s="20"/>
      <c r="AI20" s="20"/>
      <c r="AJ20" s="20"/>
      <c r="AK20" s="20"/>
      <c r="AL20" s="20">
        <f>SUM(AL3:AL18)</f>
        <v>1.4955029997142546</v>
      </c>
      <c r="AM20" s="20"/>
      <c r="AN20" s="20">
        <f>SUM(AN3:AN18)</f>
        <v>24.477199999999996</v>
      </c>
      <c r="BG20" s="20">
        <f>SUM(BG3:BG18)</f>
        <v>1.2172509994546821</v>
      </c>
      <c r="BI20" s="20">
        <f>SUM(BI3:BI18)</f>
        <v>23.081215999999927</v>
      </c>
    </row>
    <row r="21" spans="5:62">
      <c r="J21" s="15" t="s">
        <v>45</v>
      </c>
      <c r="K21" s="1" t="s">
        <v>70</v>
      </c>
      <c r="L21" s="3" t="s">
        <v>4</v>
      </c>
      <c r="M21" s="3" t="s">
        <v>71</v>
      </c>
      <c r="N21" s="1" t="s">
        <v>75</v>
      </c>
      <c r="O21" s="20">
        <v>46.744999999999997</v>
      </c>
      <c r="P21" s="20">
        <v>0.20499999999999999</v>
      </c>
      <c r="Q21" s="20">
        <v>46.756</v>
      </c>
      <c r="R21" s="20">
        <v>0.157</v>
      </c>
      <c r="S21" s="20">
        <f>O21-Q21</f>
        <v>-1.1000000000002785E-2</v>
      </c>
      <c r="T21" s="20">
        <f>SQRT((P21)^2 + (R21)^2)</f>
        <v>0.25821309029559286</v>
      </c>
      <c r="U21" s="20">
        <f>T21^2</f>
        <v>6.6673999999999997E-2</v>
      </c>
      <c r="V21" s="8">
        <v>-0.24</v>
      </c>
      <c r="W21" s="20">
        <f>(S21-V21)^2</f>
        <v>5.2440999999998718E-2</v>
      </c>
      <c r="X21" s="9" t="s">
        <v>66</v>
      </c>
      <c r="AF21" s="20"/>
      <c r="AG21" s="20"/>
      <c r="AH21" s="20"/>
      <c r="AI21" s="20"/>
      <c r="AJ21" s="20"/>
      <c r="AK21" s="20"/>
      <c r="AL21" s="20"/>
      <c r="AM21" s="20"/>
      <c r="AN21" s="20"/>
    </row>
    <row r="22" spans="5:62">
      <c r="J22" s="15" t="s">
        <v>45</v>
      </c>
      <c r="K22" s="1" t="s">
        <v>70</v>
      </c>
      <c r="L22" s="4" t="s">
        <v>6</v>
      </c>
      <c r="M22" s="3" t="s">
        <v>72</v>
      </c>
      <c r="N22" s="1" t="s">
        <v>76</v>
      </c>
      <c r="O22" s="20">
        <v>-8.67</v>
      </c>
      <c r="P22" s="20">
        <v>0.20599999999999999</v>
      </c>
      <c r="Q22" s="20">
        <v>-9.0009999999999994</v>
      </c>
      <c r="R22" s="20">
        <v>0.17100000000000001</v>
      </c>
      <c r="S22" s="20">
        <f>O22-Q22</f>
        <v>0.33099999999999952</v>
      </c>
      <c r="T22" s="20">
        <f>SQRT((P22)^2 + (R22)^2)</f>
        <v>0.26772560579817539</v>
      </c>
      <c r="U22" s="20">
        <f>T22^2</f>
        <v>7.1677000000000005E-2</v>
      </c>
      <c r="V22" s="8">
        <v>0.97</v>
      </c>
      <c r="W22" s="20">
        <f>(S22-V22)^2</f>
        <v>0.4083210000000006</v>
      </c>
      <c r="X22" s="9" t="s">
        <v>66</v>
      </c>
      <c r="AF22" s="20"/>
      <c r="AG22" s="20"/>
      <c r="AH22" s="20"/>
      <c r="AI22" s="20"/>
      <c r="AJ22" s="20"/>
      <c r="AK22" s="20"/>
      <c r="AL22" s="20"/>
      <c r="AM22" s="19" t="s">
        <v>68</v>
      </c>
      <c r="AN22" s="20">
        <f>SQRT(AN20/16)</f>
        <v>1.2368609461050986</v>
      </c>
      <c r="BH22" s="19" t="s">
        <v>68</v>
      </c>
      <c r="BI22" s="20">
        <f>SQRT(BI20/16)</f>
        <v>1.2010728537436834</v>
      </c>
    </row>
    <row r="23" spans="5:62">
      <c r="J23" s="15" t="s">
        <v>45</v>
      </c>
      <c r="K23" s="1" t="s">
        <v>70</v>
      </c>
      <c r="L23" s="4" t="s">
        <v>8</v>
      </c>
      <c r="M23" s="3" t="s">
        <v>73</v>
      </c>
      <c r="N23" s="1" t="s">
        <v>77</v>
      </c>
      <c r="O23" s="20">
        <v>-8.5299999999999994</v>
      </c>
      <c r="P23" s="20">
        <v>9.4E-2</v>
      </c>
      <c r="Q23" s="20">
        <v>-8.3219999999999992</v>
      </c>
      <c r="R23" s="20">
        <v>0.18</v>
      </c>
      <c r="S23" s="20">
        <f>O23-Q23</f>
        <v>-0.20800000000000018</v>
      </c>
      <c r="T23" s="20">
        <f>SQRT((P23)^2 + (R23)^2)</f>
        <v>0.20306649157357301</v>
      </c>
      <c r="U23" s="20">
        <f>T23^2</f>
        <v>4.1236000000000002E-2</v>
      </c>
      <c r="V23" s="8">
        <v>-0.15</v>
      </c>
      <c r="W23" s="20">
        <f>(S23-V23)^2</f>
        <v>3.3640000000000219E-3</v>
      </c>
      <c r="X23" s="9" t="s">
        <v>66</v>
      </c>
      <c r="AF23" s="20"/>
      <c r="AG23" s="20"/>
      <c r="AH23" s="20"/>
      <c r="AI23" s="20"/>
      <c r="AJ23" s="20"/>
      <c r="AK23" s="20"/>
      <c r="AL23" s="20"/>
      <c r="AM23" s="19" t="s">
        <v>40</v>
      </c>
      <c r="AN23" s="20">
        <f>SQRT(AL20/16)</f>
        <v>0.30572690016114201</v>
      </c>
      <c r="BH23" s="19" t="s">
        <v>40</v>
      </c>
      <c r="BI23" s="20">
        <f>SQRT(BG20/16)</f>
        <v>0.27582274646213939</v>
      </c>
    </row>
    <row r="24" spans="5:62" ht="17">
      <c r="J24" s="15" t="s">
        <v>45</v>
      </c>
      <c r="K24" s="1" t="s">
        <v>70</v>
      </c>
      <c r="L24" s="3" t="s">
        <v>14</v>
      </c>
      <c r="M24" s="3" t="s">
        <v>74</v>
      </c>
      <c r="N24" s="1" t="s">
        <v>78</v>
      </c>
      <c r="O24" s="20">
        <v>-11.339</v>
      </c>
      <c r="P24" s="20">
        <v>0.28199999999999997</v>
      </c>
      <c r="Q24" s="20">
        <v>-10.26</v>
      </c>
      <c r="R24" s="20">
        <v>0.121</v>
      </c>
      <c r="S24" s="20">
        <f>O24-Q24</f>
        <v>-1.0790000000000006</v>
      </c>
      <c r="T24" s="20">
        <f>SQRT((P24)^2 + (R24)^2)</f>
        <v>0.30686316168611699</v>
      </c>
      <c r="U24" s="20">
        <f>T24^2</f>
        <v>9.4164999999999985E-2</v>
      </c>
      <c r="V24" s="8">
        <v>-0.78</v>
      </c>
      <c r="W24" s="20">
        <f>(S24-V24)^2</f>
        <v>8.9401000000000355E-2</v>
      </c>
      <c r="X24" s="9" t="s">
        <v>66</v>
      </c>
      <c r="AA24" s="10" t="s">
        <v>102</v>
      </c>
      <c r="AF24" s="20"/>
      <c r="AG24" s="20"/>
      <c r="AH24" s="20"/>
      <c r="AI24" s="20"/>
      <c r="AJ24" s="20"/>
      <c r="AK24" s="20"/>
      <c r="AL24" s="20"/>
      <c r="AM24" s="20"/>
      <c r="AN24" s="20"/>
      <c r="AV24" s="10" t="s">
        <v>112</v>
      </c>
      <c r="AW24" s="11"/>
      <c r="AX24" s="11"/>
      <c r="AY24" s="11"/>
      <c r="AZ24" s="11"/>
      <c r="BA24" s="11"/>
      <c r="BB24" s="11"/>
      <c r="BC24" s="11"/>
      <c r="BD24" s="11"/>
      <c r="BE24" s="11"/>
      <c r="BF24" s="11"/>
      <c r="BG24" s="11"/>
      <c r="BH24" s="11"/>
      <c r="BI24" s="11"/>
      <c r="BJ24" s="11"/>
    </row>
    <row r="25" spans="5:62">
      <c r="O25" s="20"/>
      <c r="P25" s="20"/>
      <c r="Q25" s="20"/>
      <c r="R25" s="20"/>
      <c r="S25" s="20"/>
      <c r="T25" s="20"/>
      <c r="U25" s="18" t="s">
        <v>67</v>
      </c>
      <c r="V25" s="18"/>
      <c r="W25" s="18" t="s">
        <v>67</v>
      </c>
      <c r="AA25" s="12" t="s">
        <v>30</v>
      </c>
      <c r="AB25" s="12" t="s">
        <v>31</v>
      </c>
      <c r="AC25" s="13" t="s">
        <v>32</v>
      </c>
      <c r="AD25" s="12" t="s">
        <v>33</v>
      </c>
      <c r="AE25" s="12" t="s">
        <v>34</v>
      </c>
      <c r="AF25" s="12" t="s">
        <v>35</v>
      </c>
      <c r="AG25" s="12" t="s">
        <v>36</v>
      </c>
      <c r="AH25" s="12" t="s">
        <v>37</v>
      </c>
      <c r="AI25" s="12" t="s">
        <v>38</v>
      </c>
      <c r="AJ25" s="12" t="s">
        <v>39</v>
      </c>
      <c r="AK25" s="14" t="s">
        <v>40</v>
      </c>
      <c r="AL25" s="12" t="s">
        <v>41</v>
      </c>
      <c r="AM25" s="12" t="s">
        <v>42</v>
      </c>
      <c r="AN25" s="12" t="s">
        <v>43</v>
      </c>
      <c r="AO25" s="12" t="s">
        <v>44</v>
      </c>
      <c r="AV25" s="12" t="s">
        <v>30</v>
      </c>
      <c r="AW25" s="12" t="s">
        <v>31</v>
      </c>
      <c r="AX25" s="13" t="s">
        <v>32</v>
      </c>
      <c r="AY25" s="12" t="s">
        <v>33</v>
      </c>
      <c r="AZ25" s="12" t="s">
        <v>34</v>
      </c>
      <c r="BA25" s="12" t="s">
        <v>35</v>
      </c>
      <c r="BB25" s="12" t="s">
        <v>36</v>
      </c>
      <c r="BC25" s="12" t="s">
        <v>37</v>
      </c>
      <c r="BD25" s="12" t="s">
        <v>38</v>
      </c>
      <c r="BE25" s="12" t="s">
        <v>39</v>
      </c>
      <c r="BF25" s="14" t="s">
        <v>40</v>
      </c>
      <c r="BG25" s="12" t="s">
        <v>41</v>
      </c>
      <c r="BH25" s="12" t="s">
        <v>42</v>
      </c>
      <c r="BI25" s="12" t="s">
        <v>43</v>
      </c>
      <c r="BJ25" s="12" t="s">
        <v>44</v>
      </c>
    </row>
    <row r="26" spans="5:62">
      <c r="O26" s="20"/>
      <c r="P26" s="20"/>
      <c r="Q26" s="20"/>
      <c r="R26" s="20"/>
      <c r="S26" s="20"/>
      <c r="T26" s="20"/>
      <c r="U26" s="20">
        <f>SUM(U21:U24)</f>
        <v>0.273752</v>
      </c>
      <c r="V26" s="20"/>
      <c r="W26" s="20">
        <f>SUM(W21:W24)</f>
        <v>0.55352699999999977</v>
      </c>
      <c r="AA26" s="15" t="s">
        <v>82</v>
      </c>
      <c r="AB26" s="1" t="s">
        <v>70</v>
      </c>
      <c r="AC26" s="3" t="s">
        <v>4</v>
      </c>
      <c r="AD26" s="3" t="s">
        <v>71</v>
      </c>
      <c r="AE26" s="1" t="s">
        <v>75</v>
      </c>
      <c r="AF26" s="20">
        <v>46.597000000000001</v>
      </c>
      <c r="AG26" s="20">
        <v>0.13800000000000001</v>
      </c>
      <c r="AH26" s="20">
        <v>46.381</v>
      </c>
      <c r="AI26" s="20">
        <v>7.5999999999999998E-2</v>
      </c>
      <c r="AJ26" s="20">
        <f t="shared" ref="AJ26:AJ31" si="12">AF26-AH26</f>
        <v>0.21600000000000108</v>
      </c>
      <c r="AK26" s="20">
        <f t="shared" ref="AK26:AK31" si="13">SQRT((AG26)^2 + (AI26)^2)</f>
        <v>0.15754364474646385</v>
      </c>
      <c r="AL26" s="20">
        <f t="shared" ref="AL26:AL31" si="14">AK26^2</f>
        <v>2.4820000000000005E-2</v>
      </c>
      <c r="AM26" s="8">
        <v>-0.24</v>
      </c>
      <c r="AN26" s="20">
        <f t="shared" ref="AN26:AN31" si="15">(AJ26-AM26)^2</f>
        <v>0.20793600000000098</v>
      </c>
      <c r="AO26" s="1" t="s">
        <v>95</v>
      </c>
      <c r="AV26" s="15" t="s">
        <v>101</v>
      </c>
      <c r="AW26" s="1" t="s">
        <v>70</v>
      </c>
      <c r="AX26" s="3" t="s">
        <v>4</v>
      </c>
      <c r="AY26" s="3" t="s">
        <v>71</v>
      </c>
      <c r="AZ26" s="1" t="s">
        <v>75</v>
      </c>
      <c r="BA26" s="20">
        <v>46.500999999999998</v>
      </c>
      <c r="BB26" s="20">
        <v>0.09</v>
      </c>
      <c r="BC26" s="20">
        <v>46.497</v>
      </c>
      <c r="BD26" s="20">
        <v>8.2000000000000003E-2</v>
      </c>
      <c r="BE26" s="20">
        <f t="shared" ref="BE26:BE31" si="16">BA26-BC26</f>
        <v>3.9999999999977831E-3</v>
      </c>
      <c r="BF26" s="20">
        <f t="shared" ref="BF26:BF31" si="17">SQRT((BB26)^2 + (BD26)^2)</f>
        <v>0.1217538500417954</v>
      </c>
      <c r="BG26" s="20">
        <f t="shared" ref="BG26:BG31" si="18">BF26^2</f>
        <v>1.4824E-2</v>
      </c>
      <c r="BH26" s="8">
        <v>-0.24</v>
      </c>
      <c r="BI26" s="20">
        <f t="shared" ref="BI26:BI31" si="19">(BE26-BH26)^2</f>
        <v>5.9535999999998916E-2</v>
      </c>
      <c r="BJ26" s="1" t="s">
        <v>107</v>
      </c>
    </row>
    <row r="27" spans="5:62">
      <c r="O27" s="20"/>
      <c r="P27" s="20"/>
      <c r="Q27" s="20"/>
      <c r="R27" s="20"/>
      <c r="S27" s="20"/>
      <c r="T27" s="20"/>
      <c r="U27" s="20"/>
      <c r="V27" s="20"/>
      <c r="W27" s="20"/>
      <c r="AA27" s="15" t="s">
        <v>101</v>
      </c>
      <c r="AB27" s="1" t="s">
        <v>70</v>
      </c>
      <c r="AC27" s="6" t="s">
        <v>6</v>
      </c>
      <c r="AD27" s="3" t="s">
        <v>72</v>
      </c>
      <c r="AE27" s="1" t="s">
        <v>76</v>
      </c>
      <c r="AF27" s="20">
        <v>-8.8770000000000007</v>
      </c>
      <c r="AG27" s="20">
        <v>2.9000000000000001E-2</v>
      </c>
      <c r="AH27" s="20">
        <v>-8.4480000000000004</v>
      </c>
      <c r="AI27" s="20">
        <v>0.115</v>
      </c>
      <c r="AJ27" s="20">
        <f t="shared" si="12"/>
        <v>-0.42900000000000027</v>
      </c>
      <c r="AK27" s="20">
        <f t="shared" si="13"/>
        <v>0.11860016863394419</v>
      </c>
      <c r="AL27" s="20">
        <f t="shared" si="14"/>
        <v>1.4066E-2</v>
      </c>
      <c r="AM27" s="8">
        <v>0.97</v>
      </c>
      <c r="AN27" s="20">
        <f t="shared" si="15"/>
        <v>1.9572010000000006</v>
      </c>
      <c r="AO27" s="1" t="s">
        <v>107</v>
      </c>
      <c r="AV27" s="15" t="s">
        <v>101</v>
      </c>
      <c r="AW27" s="1" t="s">
        <v>70</v>
      </c>
      <c r="AX27" s="4" t="s">
        <v>6</v>
      </c>
      <c r="AY27" s="3" t="s">
        <v>72</v>
      </c>
      <c r="AZ27" s="1" t="s">
        <v>76</v>
      </c>
      <c r="BA27" s="20">
        <v>-8.8770000000000007</v>
      </c>
      <c r="BB27" s="20">
        <v>2.9000000000000001E-2</v>
      </c>
      <c r="BC27" s="20">
        <v>-8.4480000000000004</v>
      </c>
      <c r="BD27" s="20">
        <v>0.115</v>
      </c>
      <c r="BE27" s="20">
        <f t="shared" si="16"/>
        <v>-0.42900000000000027</v>
      </c>
      <c r="BF27" s="20">
        <f t="shared" si="17"/>
        <v>0.11860016863394419</v>
      </c>
      <c r="BG27" s="20">
        <f t="shared" si="18"/>
        <v>1.4066E-2</v>
      </c>
      <c r="BH27" s="8">
        <v>0.97</v>
      </c>
      <c r="BI27" s="20">
        <f t="shared" si="19"/>
        <v>1.9572010000000006</v>
      </c>
      <c r="BJ27" s="1" t="s">
        <v>107</v>
      </c>
    </row>
    <row r="28" spans="5:62">
      <c r="O28" s="20"/>
      <c r="P28" s="20"/>
      <c r="Q28" s="20"/>
      <c r="R28" s="20"/>
      <c r="S28" s="20"/>
      <c r="T28" s="20"/>
      <c r="U28" s="20"/>
      <c r="V28" s="19" t="s">
        <v>68</v>
      </c>
      <c r="W28" s="20">
        <f>SQRT(W26/4)</f>
        <v>0.37199697579415875</v>
      </c>
      <c r="AA28" s="15" t="s">
        <v>101</v>
      </c>
      <c r="AB28" s="1" t="s">
        <v>70</v>
      </c>
      <c r="AC28" s="6" t="s">
        <v>8</v>
      </c>
      <c r="AD28" s="3" t="s">
        <v>73</v>
      </c>
      <c r="AE28" s="1" t="s">
        <v>77</v>
      </c>
      <c r="AF28" s="20">
        <v>-8.3810000000000002</v>
      </c>
      <c r="AG28" s="20">
        <v>6.2E-2</v>
      </c>
      <c r="AH28" s="20">
        <v>-8.2289999999999992</v>
      </c>
      <c r="AI28" s="20">
        <v>7.2999999999999995E-2</v>
      </c>
      <c r="AJ28" s="20">
        <f t="shared" si="12"/>
        <v>-0.15200000000000102</v>
      </c>
      <c r="AK28" s="20">
        <f t="shared" si="13"/>
        <v>9.5775779819325918E-2</v>
      </c>
      <c r="AL28" s="20">
        <f t="shared" si="14"/>
        <v>9.1729999999999971E-3</v>
      </c>
      <c r="AM28" s="8">
        <v>-0.15</v>
      </c>
      <c r="AN28" s="20">
        <f t="shared" si="15"/>
        <v>4.0000000000041147E-6</v>
      </c>
      <c r="AO28" s="1" t="s">
        <v>107</v>
      </c>
      <c r="AV28" s="15" t="s">
        <v>101</v>
      </c>
      <c r="AW28" s="1" t="s">
        <v>70</v>
      </c>
      <c r="AX28" s="4" t="s">
        <v>8</v>
      </c>
      <c r="AY28" s="3" t="s">
        <v>73</v>
      </c>
      <c r="AZ28" s="1" t="s">
        <v>77</v>
      </c>
      <c r="BA28" s="20">
        <v>-8.3810000000000002</v>
      </c>
      <c r="BB28" s="20">
        <v>6.2E-2</v>
      </c>
      <c r="BC28" s="20">
        <v>-8.2289999999999992</v>
      </c>
      <c r="BD28" s="20">
        <v>7.2999999999999995E-2</v>
      </c>
      <c r="BE28" s="20">
        <f t="shared" si="16"/>
        <v>-0.15200000000000102</v>
      </c>
      <c r="BF28" s="20">
        <f t="shared" si="17"/>
        <v>9.5775779819325918E-2</v>
      </c>
      <c r="BG28" s="20">
        <f t="shared" si="18"/>
        <v>9.1729999999999971E-3</v>
      </c>
      <c r="BH28" s="8">
        <v>-0.15</v>
      </c>
      <c r="BI28" s="20">
        <f t="shared" si="19"/>
        <v>4.0000000000041147E-6</v>
      </c>
      <c r="BJ28" s="1" t="s">
        <v>107</v>
      </c>
    </row>
    <row r="29" spans="5:62">
      <c r="O29" s="20"/>
      <c r="P29" s="20"/>
      <c r="Q29" s="20"/>
      <c r="R29" s="20"/>
      <c r="S29" s="20"/>
      <c r="T29" s="20"/>
      <c r="U29" s="20"/>
      <c r="V29" s="19" t="s">
        <v>40</v>
      </c>
      <c r="W29" s="20">
        <f>SQRT(U26/4)</f>
        <v>0.26160657484092403</v>
      </c>
      <c r="AA29" s="15" t="s">
        <v>101</v>
      </c>
      <c r="AB29" s="1" t="s">
        <v>70</v>
      </c>
      <c r="AC29" s="6" t="s">
        <v>10</v>
      </c>
      <c r="AD29" s="3" t="s">
        <v>103</v>
      </c>
      <c r="AE29" s="1" t="s">
        <v>105</v>
      </c>
      <c r="AF29" s="20">
        <v>-5.702</v>
      </c>
      <c r="AG29" s="20">
        <v>0.24099999999999999</v>
      </c>
      <c r="AH29" s="20">
        <v>-7.9630000000000001</v>
      </c>
      <c r="AI29" s="20">
        <v>9.6000000000000002E-2</v>
      </c>
      <c r="AJ29" s="20">
        <f t="shared" si="12"/>
        <v>2.2610000000000001</v>
      </c>
      <c r="AK29" s="20">
        <f t="shared" si="13"/>
        <v>0.25941665328193564</v>
      </c>
      <c r="AL29" s="20">
        <f t="shared" si="14"/>
        <v>6.729700000000001E-2</v>
      </c>
      <c r="AM29" s="8">
        <v>2.0099999999999998</v>
      </c>
      <c r="AN29" s="20">
        <f t="shared" si="15"/>
        <v>6.3001000000000168E-2</v>
      </c>
      <c r="AO29" s="1" t="s">
        <v>107</v>
      </c>
      <c r="AV29" s="15" t="s">
        <v>101</v>
      </c>
      <c r="AW29" s="1" t="s">
        <v>70</v>
      </c>
      <c r="AX29" s="4" t="s">
        <v>10</v>
      </c>
      <c r="AY29" s="3" t="s">
        <v>103</v>
      </c>
      <c r="AZ29" s="1" t="s">
        <v>105</v>
      </c>
      <c r="BA29" s="20">
        <v>-5.702</v>
      </c>
      <c r="BB29" s="20">
        <v>0.24099999999999999</v>
      </c>
      <c r="BC29" s="20">
        <v>-7.9630000000000001</v>
      </c>
      <c r="BD29" s="20">
        <v>9.6000000000000002E-2</v>
      </c>
      <c r="BE29" s="20">
        <f t="shared" si="16"/>
        <v>2.2610000000000001</v>
      </c>
      <c r="BF29" s="20">
        <f t="shared" si="17"/>
        <v>0.25941665328193564</v>
      </c>
      <c r="BG29" s="20">
        <f t="shared" si="18"/>
        <v>6.729700000000001E-2</v>
      </c>
      <c r="BH29" s="8">
        <v>2.0099999999999998</v>
      </c>
      <c r="BI29" s="20">
        <f t="shared" si="19"/>
        <v>6.3001000000000168E-2</v>
      </c>
      <c r="BJ29" s="1" t="s">
        <v>107</v>
      </c>
    </row>
    <row r="30" spans="5:62" ht="17">
      <c r="J30" s="10" t="s">
        <v>79</v>
      </c>
      <c r="O30" s="20"/>
      <c r="P30" s="20"/>
      <c r="Q30" s="20"/>
      <c r="R30" s="20"/>
      <c r="S30" s="20"/>
      <c r="T30" s="20"/>
      <c r="U30" s="20"/>
      <c r="V30" s="20"/>
      <c r="W30" s="20"/>
      <c r="AA30" s="15" t="s">
        <v>82</v>
      </c>
      <c r="AB30" s="1" t="s">
        <v>70</v>
      </c>
      <c r="AC30" s="3" t="s">
        <v>12</v>
      </c>
      <c r="AD30" s="3" t="s">
        <v>104</v>
      </c>
      <c r="AE30" s="1" t="s">
        <v>106</v>
      </c>
      <c r="AF30" s="20">
        <v>-23.72</v>
      </c>
      <c r="AG30" s="20">
        <v>0.11700000000000001</v>
      </c>
      <c r="AH30" s="20">
        <v>-23.588999999999999</v>
      </c>
      <c r="AI30" s="20">
        <v>0.14099999999999999</v>
      </c>
      <c r="AJ30" s="20">
        <f t="shared" si="12"/>
        <v>-0.13100000000000023</v>
      </c>
      <c r="AK30" s="20">
        <f t="shared" si="13"/>
        <v>0.18322117781522965</v>
      </c>
      <c r="AL30" s="20">
        <f t="shared" si="14"/>
        <v>3.3570000000000003E-2</v>
      </c>
      <c r="AM30" s="8">
        <v>0.85</v>
      </c>
      <c r="AN30" s="20">
        <f t="shared" si="15"/>
        <v>0.96236100000000036</v>
      </c>
      <c r="AO30" s="21" t="s">
        <v>108</v>
      </c>
      <c r="AV30" s="15" t="s">
        <v>101</v>
      </c>
      <c r="AW30" s="1" t="s">
        <v>70</v>
      </c>
      <c r="AX30" s="3" t="s">
        <v>12</v>
      </c>
      <c r="AY30" s="3" t="s">
        <v>104</v>
      </c>
      <c r="AZ30" s="1" t="s">
        <v>106</v>
      </c>
      <c r="BA30" s="20">
        <v>-23.943000000000001</v>
      </c>
      <c r="BB30" s="20">
        <v>0.187</v>
      </c>
      <c r="BC30" s="20">
        <v>-24.111000000000001</v>
      </c>
      <c r="BD30" s="20">
        <v>0.11600000000000001</v>
      </c>
      <c r="BE30" s="20">
        <f t="shared" si="16"/>
        <v>0.16799999999999926</v>
      </c>
      <c r="BF30" s="20">
        <f t="shared" si="17"/>
        <v>0.22005681084665388</v>
      </c>
      <c r="BG30" s="20">
        <f t="shared" si="18"/>
        <v>4.8425000000000003E-2</v>
      </c>
      <c r="BH30" s="8">
        <v>0.85</v>
      </c>
      <c r="BI30" s="20">
        <f t="shared" si="19"/>
        <v>0.46512400000000098</v>
      </c>
      <c r="BJ30" s="1" t="s">
        <v>107</v>
      </c>
    </row>
    <row r="31" spans="5:62">
      <c r="J31" s="12" t="s">
        <v>30</v>
      </c>
      <c r="K31" s="12" t="s">
        <v>31</v>
      </c>
      <c r="L31" s="13" t="s">
        <v>32</v>
      </c>
      <c r="M31" s="12" t="s">
        <v>33</v>
      </c>
      <c r="N31" s="12" t="s">
        <v>34</v>
      </c>
      <c r="O31" s="12" t="s">
        <v>35</v>
      </c>
      <c r="P31" s="12" t="s">
        <v>36</v>
      </c>
      <c r="Q31" s="12" t="s">
        <v>37</v>
      </c>
      <c r="R31" s="12" t="s">
        <v>38</v>
      </c>
      <c r="S31" s="12" t="s">
        <v>39</v>
      </c>
      <c r="T31" s="14" t="s">
        <v>40</v>
      </c>
      <c r="U31" s="12" t="s">
        <v>41</v>
      </c>
      <c r="V31" s="12" t="s">
        <v>42</v>
      </c>
      <c r="W31" s="12" t="s">
        <v>43</v>
      </c>
      <c r="AA31" s="15" t="s">
        <v>82</v>
      </c>
      <c r="AB31" s="1" t="s">
        <v>70</v>
      </c>
      <c r="AC31" s="3" t="s">
        <v>14</v>
      </c>
      <c r="AD31" s="3" t="s">
        <v>74</v>
      </c>
      <c r="AE31" s="1" t="s">
        <v>78</v>
      </c>
      <c r="AF31" s="20">
        <v>-11.115</v>
      </c>
      <c r="AG31" s="20">
        <v>0.28299999999999997</v>
      </c>
      <c r="AH31" s="20">
        <v>-10.105</v>
      </c>
      <c r="AI31" s="20">
        <v>0.123</v>
      </c>
      <c r="AJ31" s="20">
        <f t="shared" si="12"/>
        <v>-1.0099999999999998</v>
      </c>
      <c r="AK31" s="20">
        <f t="shared" si="13"/>
        <v>0.30857414019972573</v>
      </c>
      <c r="AL31" s="20">
        <f t="shared" si="14"/>
        <v>9.5217999999999997E-2</v>
      </c>
      <c r="AM31" s="8">
        <v>-0.78</v>
      </c>
      <c r="AN31" s="20">
        <f t="shared" si="15"/>
        <v>5.2899999999999892E-2</v>
      </c>
      <c r="AO31" s="1" t="s">
        <v>95</v>
      </c>
      <c r="AV31" s="15" t="s">
        <v>101</v>
      </c>
      <c r="AW31" s="1" t="s">
        <v>70</v>
      </c>
      <c r="AX31" s="3" t="s">
        <v>14</v>
      </c>
      <c r="AY31" s="3" t="s">
        <v>74</v>
      </c>
      <c r="AZ31" s="1" t="s">
        <v>78</v>
      </c>
      <c r="BA31" s="20">
        <v>-10.510999999999999</v>
      </c>
      <c r="BB31" s="20">
        <v>0.13900000000000001</v>
      </c>
      <c r="BC31" s="20">
        <v>-10.164</v>
      </c>
      <c r="BD31" s="20">
        <v>0.04</v>
      </c>
      <c r="BE31" s="20">
        <f t="shared" si="16"/>
        <v>-0.34699999999999953</v>
      </c>
      <c r="BF31" s="20">
        <f t="shared" si="17"/>
        <v>0.14464093473149295</v>
      </c>
      <c r="BG31" s="20">
        <f t="shared" si="18"/>
        <v>2.0921000000000002E-2</v>
      </c>
      <c r="BH31" s="8">
        <v>-0.78</v>
      </c>
      <c r="BI31" s="20">
        <f t="shared" si="19"/>
        <v>0.18748900000000043</v>
      </c>
      <c r="BJ31" s="1" t="s">
        <v>107</v>
      </c>
    </row>
    <row r="32" spans="5:62">
      <c r="J32" s="15" t="s">
        <v>45</v>
      </c>
      <c r="K32" s="15" t="s">
        <v>46</v>
      </c>
      <c r="L32" s="3" t="s">
        <v>5</v>
      </c>
      <c r="M32" s="3" t="s">
        <v>47</v>
      </c>
      <c r="N32" s="1" t="s">
        <v>56</v>
      </c>
      <c r="O32" s="20">
        <v>-13.536</v>
      </c>
      <c r="P32" s="20">
        <v>0.45700000000000002</v>
      </c>
      <c r="Q32" s="20">
        <v>-13.862</v>
      </c>
      <c r="R32" s="20">
        <v>0.16300000000000001</v>
      </c>
      <c r="S32" s="20">
        <f>O32-Q32</f>
        <v>0.32600000000000051</v>
      </c>
      <c r="T32" s="20">
        <f>SQRT((P32)^2 + (R32)^2)</f>
        <v>0.48519892827581557</v>
      </c>
      <c r="U32" s="20">
        <f>T32^2</f>
        <v>0.23541800000000002</v>
      </c>
      <c r="V32" s="8">
        <v>-0.01</v>
      </c>
      <c r="W32" s="20">
        <f>(S32-V32)^2</f>
        <v>0.11289600000000034</v>
      </c>
      <c r="AF32" s="20"/>
      <c r="AG32" s="20"/>
      <c r="AH32" s="20"/>
      <c r="AI32" s="20"/>
      <c r="AJ32" s="20"/>
      <c r="AK32" s="20"/>
      <c r="AL32" s="18" t="s">
        <v>67</v>
      </c>
      <c r="AM32" s="18"/>
      <c r="AN32" s="18" t="s">
        <v>67</v>
      </c>
      <c r="BG32" s="18" t="s">
        <v>67</v>
      </c>
      <c r="BH32" s="18"/>
      <c r="BI32" s="18" t="s">
        <v>67</v>
      </c>
      <c r="BJ32" s="11"/>
    </row>
    <row r="33" spans="10:62">
      <c r="J33" s="15" t="s">
        <v>45</v>
      </c>
      <c r="K33" s="15" t="s">
        <v>46</v>
      </c>
      <c r="L33" s="3" t="s">
        <v>7</v>
      </c>
      <c r="M33" s="3" t="s">
        <v>48</v>
      </c>
      <c r="N33" s="1" t="s">
        <v>57</v>
      </c>
      <c r="O33" s="20">
        <v>11.72</v>
      </c>
      <c r="P33" s="20">
        <v>0.115</v>
      </c>
      <c r="Q33" s="20">
        <v>11.284000000000001</v>
      </c>
      <c r="R33" s="20">
        <v>0.14000000000000001</v>
      </c>
      <c r="S33" s="20">
        <f t="shared" ref="S33:S41" si="20">O33-Q33</f>
        <v>0.43599999999999994</v>
      </c>
      <c r="T33" s="20">
        <f t="shared" ref="T33:T41" si="21">SQRT((P33)^2 + (R33)^2)</f>
        <v>0.1811767093199344</v>
      </c>
      <c r="U33" s="20">
        <f t="shared" ref="U33:U41" si="22">T33^2</f>
        <v>3.2825000000000007E-2</v>
      </c>
      <c r="V33" s="8">
        <v>0.7</v>
      </c>
      <c r="W33" s="20">
        <f t="shared" ref="W33:W41" si="23">(S33-V33)^2</f>
        <v>6.9696000000000008E-2</v>
      </c>
      <c r="AL33" s="20">
        <f>SUM(AL26:AL31)</f>
        <v>0.244144</v>
      </c>
      <c r="AN33" s="20">
        <f>SUM(AN26:AN31)</f>
        <v>3.243403000000002</v>
      </c>
      <c r="BG33" s="20">
        <f>SUM(BG26:BG31)</f>
        <v>0.174706</v>
      </c>
      <c r="BI33" s="20">
        <f>SUM(BI26:BI31)</f>
        <v>2.732355000000001</v>
      </c>
      <c r="BJ33" s="22"/>
    </row>
    <row r="34" spans="10:62">
      <c r="J34" s="15" t="s">
        <v>45</v>
      </c>
      <c r="K34" s="15" t="s">
        <v>46</v>
      </c>
      <c r="L34" s="3" t="s">
        <v>13</v>
      </c>
      <c r="M34" s="3" t="s">
        <v>49</v>
      </c>
      <c r="N34" s="1" t="s">
        <v>58</v>
      </c>
      <c r="O34" s="20">
        <v>11.25</v>
      </c>
      <c r="P34" s="20">
        <v>0.308</v>
      </c>
      <c r="Q34" s="20">
        <v>11.538</v>
      </c>
      <c r="R34" s="20">
        <v>0.104</v>
      </c>
      <c r="S34" s="20">
        <f t="shared" si="20"/>
        <v>-0.28800000000000026</v>
      </c>
      <c r="T34" s="20">
        <f t="shared" si="21"/>
        <v>0.32508460437246178</v>
      </c>
      <c r="U34" s="20">
        <f t="shared" si="22"/>
        <v>0.10568</v>
      </c>
      <c r="V34" s="8">
        <v>-1.28</v>
      </c>
      <c r="W34" s="20">
        <f t="shared" si="23"/>
        <v>0.98406399999999949</v>
      </c>
      <c r="BI34" s="20"/>
    </row>
    <row r="35" spans="10:62">
      <c r="J35" s="15" t="s">
        <v>45</v>
      </c>
      <c r="K35" s="15" t="s">
        <v>46</v>
      </c>
      <c r="L35" s="3" t="s">
        <v>15</v>
      </c>
      <c r="M35" s="3" t="s">
        <v>50</v>
      </c>
      <c r="N35" s="1" t="s">
        <v>59</v>
      </c>
      <c r="O35" s="20">
        <v>14.666</v>
      </c>
      <c r="P35" s="20">
        <v>0.14299999999999999</v>
      </c>
      <c r="Q35" s="20">
        <v>13.262</v>
      </c>
      <c r="R35" s="20">
        <v>0.112</v>
      </c>
      <c r="S35" s="20">
        <f t="shared" si="20"/>
        <v>1.4039999999999999</v>
      </c>
      <c r="T35" s="20">
        <f t="shared" si="21"/>
        <v>0.18163975335812366</v>
      </c>
      <c r="U35" s="20">
        <f t="shared" si="22"/>
        <v>3.2992999999999995E-2</v>
      </c>
      <c r="V35" s="8">
        <v>1.26</v>
      </c>
      <c r="W35" s="20">
        <f t="shared" si="23"/>
        <v>2.0735999999999973E-2</v>
      </c>
      <c r="AM35" s="19" t="s">
        <v>68</v>
      </c>
      <c r="AN35" s="1">
        <f>SQRT(AN33/6)</f>
        <v>0.73523272959428776</v>
      </c>
      <c r="BH35" s="19" t="s">
        <v>68</v>
      </c>
      <c r="BI35" s="20">
        <f>SQRT(BI33/6)</f>
        <v>0.67482775580143417</v>
      </c>
    </row>
    <row r="36" spans="10:62">
      <c r="J36" s="15" t="s">
        <v>45</v>
      </c>
      <c r="K36" s="15" t="s">
        <v>46</v>
      </c>
      <c r="L36" s="3" t="s">
        <v>16</v>
      </c>
      <c r="M36" s="3" t="s">
        <v>51</v>
      </c>
      <c r="N36" s="1" t="s">
        <v>60</v>
      </c>
      <c r="O36" s="20">
        <v>-5.4580000000000002</v>
      </c>
      <c r="P36" s="20">
        <v>0.16700000000000001</v>
      </c>
      <c r="Q36" s="20">
        <v>-5.8310000000000004</v>
      </c>
      <c r="R36" s="20">
        <v>4.1000000000000002E-2</v>
      </c>
      <c r="S36" s="20">
        <f t="shared" si="20"/>
        <v>0.37300000000000022</v>
      </c>
      <c r="T36" s="20">
        <f t="shared" si="21"/>
        <v>0.1719592975096142</v>
      </c>
      <c r="U36" s="20">
        <f t="shared" si="22"/>
        <v>2.9570000000000006E-2</v>
      </c>
      <c r="V36" s="8">
        <v>1.35</v>
      </c>
      <c r="W36" s="20">
        <f t="shared" si="23"/>
        <v>0.95452899999999974</v>
      </c>
      <c r="AM36" s="19" t="s">
        <v>40</v>
      </c>
      <c r="AN36" s="1">
        <f>SQRT(AL33/6)</f>
        <v>0.2017192768841557</v>
      </c>
      <c r="BH36" s="19" t="s">
        <v>40</v>
      </c>
      <c r="BI36" s="20">
        <f>SQRT(BG33/6)</f>
        <v>0.17063899515253442</v>
      </c>
    </row>
    <row r="37" spans="10:62" ht="17">
      <c r="J37" s="15" t="s">
        <v>45</v>
      </c>
      <c r="K37" s="15" t="s">
        <v>46</v>
      </c>
      <c r="L37" s="3" t="s">
        <v>17</v>
      </c>
      <c r="M37" s="3" t="s">
        <v>52</v>
      </c>
      <c r="N37" s="1" t="s">
        <v>61</v>
      </c>
      <c r="O37" s="20">
        <v>70.745000000000005</v>
      </c>
      <c r="P37" s="20">
        <v>0.434</v>
      </c>
      <c r="Q37" s="20">
        <v>70.069999999999993</v>
      </c>
      <c r="R37" s="20">
        <v>0.04</v>
      </c>
      <c r="S37" s="20">
        <f t="shared" si="20"/>
        <v>0.67500000000001137</v>
      </c>
      <c r="T37" s="20">
        <f t="shared" si="21"/>
        <v>0.43583941997024545</v>
      </c>
      <c r="U37" s="20">
        <f t="shared" si="22"/>
        <v>0.18995599999999999</v>
      </c>
      <c r="V37" s="8">
        <v>1.76</v>
      </c>
      <c r="W37" s="20">
        <f t="shared" si="23"/>
        <v>1.1772249999999753</v>
      </c>
      <c r="AV37" s="10" t="s">
        <v>113</v>
      </c>
      <c r="AW37" s="11"/>
      <c r="AX37" s="11"/>
      <c r="AY37" s="11"/>
      <c r="AZ37" s="11"/>
      <c r="BA37" s="11"/>
      <c r="BB37" s="11"/>
      <c r="BC37" s="11"/>
      <c r="BD37" s="11"/>
      <c r="BE37" s="11"/>
      <c r="BF37" s="11"/>
      <c r="BG37" s="11"/>
      <c r="BH37" s="11"/>
      <c r="BI37" s="11"/>
    </row>
    <row r="38" spans="10:62" ht="17">
      <c r="J38" s="15" t="s">
        <v>45</v>
      </c>
      <c r="K38" s="15" t="s">
        <v>46</v>
      </c>
      <c r="L38" s="3" t="s">
        <v>20</v>
      </c>
      <c r="M38" s="3" t="s">
        <v>53</v>
      </c>
      <c r="N38" s="1" t="s">
        <v>62</v>
      </c>
      <c r="O38" s="20">
        <v>46.478000000000002</v>
      </c>
      <c r="P38" s="20">
        <v>0.28399999999999997</v>
      </c>
      <c r="Q38" s="20">
        <v>46.073999999999998</v>
      </c>
      <c r="R38" s="20">
        <v>0.06</v>
      </c>
      <c r="S38" s="20">
        <f t="shared" si="20"/>
        <v>0.40400000000000347</v>
      </c>
      <c r="T38" s="20">
        <f t="shared" si="21"/>
        <v>0.29026884090442778</v>
      </c>
      <c r="U38" s="20">
        <f t="shared" si="22"/>
        <v>8.4256000000000011E-2</v>
      </c>
      <c r="V38" s="8">
        <v>-0.35</v>
      </c>
      <c r="W38" s="20">
        <f t="shared" si="23"/>
        <v>0.56851600000000524</v>
      </c>
      <c r="AA38" s="10" t="s">
        <v>109</v>
      </c>
      <c r="AF38" s="20"/>
      <c r="AG38" s="20"/>
      <c r="AH38" s="20"/>
      <c r="AI38" s="20"/>
      <c r="AJ38" s="20"/>
      <c r="AK38" s="20"/>
      <c r="AL38" s="20"/>
      <c r="AM38" s="20"/>
      <c r="AN38" s="20"/>
      <c r="AV38" s="12" t="s">
        <v>30</v>
      </c>
      <c r="AW38" s="12" t="s">
        <v>31</v>
      </c>
      <c r="AX38" s="13" t="s">
        <v>32</v>
      </c>
      <c r="AY38" s="12" t="s">
        <v>33</v>
      </c>
      <c r="AZ38" s="12" t="s">
        <v>34</v>
      </c>
      <c r="BA38" s="12" t="s">
        <v>35</v>
      </c>
      <c r="BB38" s="12" t="s">
        <v>36</v>
      </c>
      <c r="BC38" s="12" t="s">
        <v>37</v>
      </c>
      <c r="BD38" s="12" t="s">
        <v>38</v>
      </c>
      <c r="BE38" s="12" t="s">
        <v>39</v>
      </c>
      <c r="BF38" s="14" t="s">
        <v>40</v>
      </c>
      <c r="BG38" s="12" t="s">
        <v>41</v>
      </c>
      <c r="BH38" s="12" t="s">
        <v>42</v>
      </c>
      <c r="BI38" s="12" t="s">
        <v>43</v>
      </c>
    </row>
    <row r="39" spans="10:62">
      <c r="J39" s="15" t="s">
        <v>45</v>
      </c>
      <c r="K39" s="15" t="s">
        <v>46</v>
      </c>
      <c r="L39" s="3" t="s">
        <v>22</v>
      </c>
      <c r="M39" s="3" t="s">
        <v>54</v>
      </c>
      <c r="N39" s="1" t="s">
        <v>63</v>
      </c>
      <c r="O39" s="20">
        <v>-2.585</v>
      </c>
      <c r="P39" s="20">
        <v>0.11799999999999999</v>
      </c>
      <c r="Q39" s="20">
        <v>-2.673</v>
      </c>
      <c r="R39" s="20">
        <v>0.21</v>
      </c>
      <c r="S39" s="20">
        <f t="shared" si="20"/>
        <v>8.8000000000000078E-2</v>
      </c>
      <c r="T39" s="20">
        <f t="shared" si="21"/>
        <v>0.24088171371027731</v>
      </c>
      <c r="U39" s="20">
        <f t="shared" si="22"/>
        <v>5.8023999999999999E-2</v>
      </c>
      <c r="V39" s="8">
        <v>0.52</v>
      </c>
      <c r="W39" s="20">
        <f t="shared" si="23"/>
        <v>0.18662399999999996</v>
      </c>
      <c r="AA39" s="12" t="s">
        <v>30</v>
      </c>
      <c r="AB39" s="12" t="s">
        <v>31</v>
      </c>
      <c r="AC39" s="13" t="s">
        <v>32</v>
      </c>
      <c r="AD39" s="12" t="s">
        <v>33</v>
      </c>
      <c r="AE39" s="12" t="s">
        <v>34</v>
      </c>
      <c r="AF39" s="12" t="s">
        <v>35</v>
      </c>
      <c r="AG39" s="12" t="s">
        <v>36</v>
      </c>
      <c r="AH39" s="12" t="s">
        <v>37</v>
      </c>
      <c r="AI39" s="12" t="s">
        <v>38</v>
      </c>
      <c r="AJ39" s="12" t="s">
        <v>39</v>
      </c>
      <c r="AK39" s="14" t="s">
        <v>40</v>
      </c>
      <c r="AL39" s="12" t="s">
        <v>41</v>
      </c>
      <c r="AM39" s="12" t="s">
        <v>42</v>
      </c>
      <c r="AN39" s="12" t="s">
        <v>43</v>
      </c>
      <c r="AV39" s="15" t="s">
        <v>101</v>
      </c>
      <c r="AW39" s="15" t="s">
        <v>46</v>
      </c>
      <c r="AX39" s="3" t="s">
        <v>5</v>
      </c>
      <c r="AY39" s="3" t="s">
        <v>47</v>
      </c>
      <c r="AZ39" s="1" t="s">
        <v>56</v>
      </c>
      <c r="BA39" s="20">
        <v>-12.769</v>
      </c>
      <c r="BB39" s="20">
        <v>0.187</v>
      </c>
      <c r="BC39" s="20">
        <v>-13.163</v>
      </c>
      <c r="BD39" s="20">
        <v>7.9000000000000001E-2</v>
      </c>
      <c r="BE39" s="20">
        <f>BA39-BC39</f>
        <v>0.39400000000000013</v>
      </c>
      <c r="BF39" s="20">
        <f>SQRT((BB39)^2 + (BD39)^2)</f>
        <v>0.20300246303924491</v>
      </c>
      <c r="BG39" s="20">
        <f>BF39^2</f>
        <v>4.1209999999999997E-2</v>
      </c>
      <c r="BH39" s="8">
        <v>-0.01</v>
      </c>
      <c r="BI39" s="20">
        <f>(BE39-BH39)^2</f>
        <v>0.16321600000000011</v>
      </c>
    </row>
    <row r="40" spans="10:62">
      <c r="J40" s="15" t="s">
        <v>45</v>
      </c>
      <c r="K40" s="15" t="s">
        <v>46</v>
      </c>
      <c r="L40" s="3" t="s">
        <v>23</v>
      </c>
      <c r="M40" s="3" t="s">
        <v>55</v>
      </c>
      <c r="N40" s="1" t="s">
        <v>64</v>
      </c>
      <c r="O40" s="20">
        <v>-4.8170000000000002</v>
      </c>
      <c r="P40" s="20">
        <v>0.20200000000000001</v>
      </c>
      <c r="Q40" s="20">
        <v>-5.0739999999999998</v>
      </c>
      <c r="R40" s="20">
        <v>7.3999999999999996E-2</v>
      </c>
      <c r="S40" s="20">
        <f t="shared" si="20"/>
        <v>0.25699999999999967</v>
      </c>
      <c r="T40" s="20">
        <f t="shared" si="21"/>
        <v>0.21512786895239772</v>
      </c>
      <c r="U40" s="20">
        <f t="shared" si="22"/>
        <v>4.6280000000000009E-2</v>
      </c>
      <c r="V40" s="8">
        <v>1.08</v>
      </c>
      <c r="W40" s="20">
        <f t="shared" si="23"/>
        <v>0.67732900000000063</v>
      </c>
      <c r="AA40" s="15" t="s">
        <v>82</v>
      </c>
      <c r="AB40" s="15" t="s">
        <v>46</v>
      </c>
      <c r="AC40" s="3" t="s">
        <v>5</v>
      </c>
      <c r="AD40" s="3" t="s">
        <v>47</v>
      </c>
      <c r="AE40" s="1" t="s">
        <v>56</v>
      </c>
      <c r="AF40" s="20">
        <v>-12.409000000000001</v>
      </c>
      <c r="AG40" s="20">
        <v>0.20899999999999999</v>
      </c>
      <c r="AH40" s="20">
        <v>-13.032999999999999</v>
      </c>
      <c r="AI40" s="20">
        <v>0.20200000000000001</v>
      </c>
      <c r="AJ40" s="20">
        <f>AF40-AH40</f>
        <v>0.62399999999999878</v>
      </c>
      <c r="AK40" s="20">
        <f>SQRT((AG40)^2 + (AI40)^2)</f>
        <v>0.29066303514551006</v>
      </c>
      <c r="AL40" s="20">
        <f>AK40^2</f>
        <v>8.4485000000000018E-2</v>
      </c>
      <c r="AM40" s="8">
        <v>-0.01</v>
      </c>
      <c r="AN40" s="20">
        <f>(AJ40-AM40)^2</f>
        <v>0.40195599999999848</v>
      </c>
      <c r="AV40" s="15" t="s">
        <v>101</v>
      </c>
      <c r="AW40" s="15" t="s">
        <v>46</v>
      </c>
      <c r="AX40" s="3" t="s">
        <v>7</v>
      </c>
      <c r="AY40" s="3" t="s">
        <v>48</v>
      </c>
      <c r="AZ40" s="1" t="s">
        <v>57</v>
      </c>
      <c r="BA40" s="20">
        <v>11.429</v>
      </c>
      <c r="BB40" s="20">
        <v>0.17699999999999999</v>
      </c>
      <c r="BC40" s="20">
        <v>10.743</v>
      </c>
      <c r="BD40" s="20">
        <v>0.13600000000000001</v>
      </c>
      <c r="BE40" s="20">
        <f t="shared" ref="BE40:BE52" si="24">BA40-BC40</f>
        <v>0.68599999999999994</v>
      </c>
      <c r="BF40" s="20">
        <f t="shared" ref="BF40:BF52" si="25">SQRT((BB40)^2 + (BD40)^2)</f>
        <v>0.22321514285549712</v>
      </c>
      <c r="BG40" s="20">
        <f t="shared" ref="BG40:BG52" si="26">BF40^2</f>
        <v>4.9824999999999987E-2</v>
      </c>
      <c r="BH40" s="8">
        <v>0.7</v>
      </c>
      <c r="BI40" s="20">
        <f t="shared" ref="BI40:BI52" si="27">(BE40-BH40)^2</f>
        <v>1.9600000000000035E-4</v>
      </c>
    </row>
    <row r="41" spans="10:62">
      <c r="J41" s="15" t="s">
        <v>45</v>
      </c>
      <c r="K41" s="15" t="s">
        <v>46</v>
      </c>
      <c r="L41" s="8" t="s">
        <v>27</v>
      </c>
      <c r="M41" s="9" t="s">
        <v>28</v>
      </c>
      <c r="N41" s="1" t="s">
        <v>65</v>
      </c>
      <c r="O41" s="20">
        <v>-8.2720000000000002</v>
      </c>
      <c r="P41" s="20">
        <v>0.20599999999999999</v>
      </c>
      <c r="Q41" s="20">
        <v>-8.3350000000000009</v>
      </c>
      <c r="R41" s="20">
        <v>0.154</v>
      </c>
      <c r="S41" s="20">
        <f t="shared" si="20"/>
        <v>6.3000000000000611E-2</v>
      </c>
      <c r="T41" s="20">
        <f t="shared" si="21"/>
        <v>0.25720031104180258</v>
      </c>
      <c r="U41" s="20">
        <f t="shared" si="22"/>
        <v>6.6151999999999989E-2</v>
      </c>
      <c r="V41" s="9">
        <v>-0.21</v>
      </c>
      <c r="W41" s="20">
        <f t="shared" si="23"/>
        <v>7.4529000000000317E-2</v>
      </c>
      <c r="AA41" s="15" t="s">
        <v>82</v>
      </c>
      <c r="AB41" s="15" t="s">
        <v>46</v>
      </c>
      <c r="AC41" s="3" t="s">
        <v>7</v>
      </c>
      <c r="AD41" s="3" t="s">
        <v>48</v>
      </c>
      <c r="AE41" s="1" t="s">
        <v>57</v>
      </c>
      <c r="AF41" s="20">
        <v>11.23</v>
      </c>
      <c r="AG41" s="20">
        <v>0.182</v>
      </c>
      <c r="AH41" s="20">
        <v>11.393000000000001</v>
      </c>
      <c r="AI41" s="20">
        <v>9.1999999999999998E-2</v>
      </c>
      <c r="AJ41" s="20">
        <f t="shared" ref="AJ41:AJ61" si="28">AF41-AH41</f>
        <v>-0.16300000000000026</v>
      </c>
      <c r="AK41" s="20">
        <f t="shared" ref="AK41:AK61" si="29">SQRT((AG41)^2 + (AI41)^2)</f>
        <v>0.20393136100168605</v>
      </c>
      <c r="AL41" s="20">
        <f t="shared" ref="AL41:AL61" si="30">AK41^2</f>
        <v>4.1587999999999993E-2</v>
      </c>
      <c r="AM41" s="8">
        <v>0.7</v>
      </c>
      <c r="AN41" s="20">
        <f t="shared" ref="AN41:AN61" si="31">(AJ41-AM41)^2</f>
        <v>0.74476900000000035</v>
      </c>
      <c r="AV41" s="15" t="s">
        <v>101</v>
      </c>
      <c r="AW41" s="15" t="s">
        <v>46</v>
      </c>
      <c r="AX41" s="3" t="s">
        <v>9</v>
      </c>
      <c r="AY41" s="3" t="s">
        <v>83</v>
      </c>
      <c r="AZ41" s="1" t="s">
        <v>89</v>
      </c>
      <c r="BA41" s="20">
        <v>-33.622</v>
      </c>
      <c r="BB41" s="20">
        <v>0.41399999999999998</v>
      </c>
      <c r="BC41" s="20">
        <v>-37.578000000000003</v>
      </c>
      <c r="BD41" s="20">
        <v>0.16800000000000001</v>
      </c>
      <c r="BE41" s="20">
        <f t="shared" si="24"/>
        <v>3.9560000000000031</v>
      </c>
      <c r="BF41" s="20">
        <f t="shared" si="25"/>
        <v>0.44678854058715517</v>
      </c>
      <c r="BG41" s="20">
        <f t="shared" si="26"/>
        <v>0.19961999999999999</v>
      </c>
      <c r="BH41" s="8">
        <v>1.19</v>
      </c>
      <c r="BI41" s="20">
        <f t="shared" si="27"/>
        <v>7.6507560000000172</v>
      </c>
    </row>
    <row r="42" spans="10:62">
      <c r="J42" s="15" t="s">
        <v>45</v>
      </c>
      <c r="K42" s="1" t="s">
        <v>70</v>
      </c>
      <c r="L42" s="3" t="s">
        <v>4</v>
      </c>
      <c r="M42" s="3" t="s">
        <v>71</v>
      </c>
      <c r="N42" s="1" t="s">
        <v>75</v>
      </c>
      <c r="O42" s="20">
        <v>46.744999999999997</v>
      </c>
      <c r="P42" s="20">
        <v>0.20499999999999999</v>
      </c>
      <c r="Q42" s="20">
        <v>46.756</v>
      </c>
      <c r="R42" s="20">
        <v>0.157</v>
      </c>
      <c r="S42" s="20">
        <f>O42-Q42</f>
        <v>-1.1000000000002785E-2</v>
      </c>
      <c r="T42" s="20">
        <f>SQRT((P42)^2 + (R42)^2)</f>
        <v>0.25821309029559286</v>
      </c>
      <c r="U42" s="20">
        <f>T42^2</f>
        <v>6.6673999999999997E-2</v>
      </c>
      <c r="V42" s="8">
        <v>-0.24</v>
      </c>
      <c r="W42" s="20">
        <f>(S42-V42)^2</f>
        <v>5.2440999999998718E-2</v>
      </c>
      <c r="AA42" s="15" t="s">
        <v>82</v>
      </c>
      <c r="AB42" s="15" t="s">
        <v>46</v>
      </c>
      <c r="AC42" s="3" t="s">
        <v>9</v>
      </c>
      <c r="AD42" s="3" t="s">
        <v>83</v>
      </c>
      <c r="AE42" s="1" t="s">
        <v>89</v>
      </c>
      <c r="AF42" s="20">
        <v>-33.622</v>
      </c>
      <c r="AG42" s="20">
        <v>0.41399999999999998</v>
      </c>
      <c r="AH42" s="20">
        <v>-37.578000000000003</v>
      </c>
      <c r="AI42" s="20">
        <v>0.16800000000000001</v>
      </c>
      <c r="AJ42" s="20">
        <f t="shared" si="28"/>
        <v>3.9560000000000031</v>
      </c>
      <c r="AK42" s="20">
        <f t="shared" si="29"/>
        <v>0.44678854058715517</v>
      </c>
      <c r="AL42" s="20">
        <f t="shared" si="30"/>
        <v>0.19961999999999999</v>
      </c>
      <c r="AM42" s="8">
        <v>1.19</v>
      </c>
      <c r="AN42" s="20">
        <f t="shared" si="31"/>
        <v>7.6507560000000172</v>
      </c>
      <c r="AV42" s="15" t="s">
        <v>101</v>
      </c>
      <c r="AW42" s="15" t="s">
        <v>46</v>
      </c>
      <c r="AX42" s="3" t="s">
        <v>11</v>
      </c>
      <c r="AY42" s="3" t="s">
        <v>84</v>
      </c>
      <c r="AZ42" s="1" t="s">
        <v>90</v>
      </c>
      <c r="BA42" s="20">
        <v>-40.414999999999999</v>
      </c>
      <c r="BB42" s="20">
        <v>0.307</v>
      </c>
      <c r="BC42" s="20">
        <v>-41.499000000000002</v>
      </c>
      <c r="BD42" s="20">
        <v>0.23400000000000001</v>
      </c>
      <c r="BE42" s="20">
        <f t="shared" si="24"/>
        <v>1.0840000000000032</v>
      </c>
      <c r="BF42" s="20">
        <f t="shared" si="25"/>
        <v>0.3860116578550446</v>
      </c>
      <c r="BG42" s="20">
        <f t="shared" si="26"/>
        <v>0.14900500000000003</v>
      </c>
      <c r="BH42" s="8">
        <v>1.28</v>
      </c>
      <c r="BI42" s="20">
        <f t="shared" si="27"/>
        <v>3.8415999999998764E-2</v>
      </c>
    </row>
    <row r="43" spans="10:62">
      <c r="J43" s="15" t="s">
        <v>45</v>
      </c>
      <c r="K43" s="1" t="s">
        <v>70</v>
      </c>
      <c r="L43" s="4" t="s">
        <v>6</v>
      </c>
      <c r="M43" s="3" t="s">
        <v>72</v>
      </c>
      <c r="N43" s="1" t="s">
        <v>76</v>
      </c>
      <c r="O43" s="20">
        <v>-8.67</v>
      </c>
      <c r="P43" s="20">
        <v>0.20599999999999999</v>
      </c>
      <c r="Q43" s="20">
        <v>-9.0009999999999994</v>
      </c>
      <c r="R43" s="20">
        <v>0.17100000000000001</v>
      </c>
      <c r="S43" s="20">
        <f>O43-Q43</f>
        <v>0.33099999999999952</v>
      </c>
      <c r="T43" s="20">
        <f>SQRT((P43)^2 + (R43)^2)</f>
        <v>0.26772560579817539</v>
      </c>
      <c r="U43" s="20">
        <f>T43^2</f>
        <v>7.1677000000000005E-2</v>
      </c>
      <c r="V43" s="8">
        <v>0.97</v>
      </c>
      <c r="W43" s="20">
        <f>(S43-V43)^2</f>
        <v>0.4083210000000006</v>
      </c>
      <c r="AA43" s="15" t="s">
        <v>101</v>
      </c>
      <c r="AB43" s="15" t="s">
        <v>46</v>
      </c>
      <c r="AC43" s="3" t="s">
        <v>11</v>
      </c>
      <c r="AD43" s="3" t="s">
        <v>84</v>
      </c>
      <c r="AE43" s="1" t="s">
        <v>90</v>
      </c>
      <c r="AF43" s="20">
        <v>-40.414999999999999</v>
      </c>
      <c r="AG43" s="20">
        <v>0.307</v>
      </c>
      <c r="AH43" s="20">
        <v>-41.499000000000002</v>
      </c>
      <c r="AI43" s="20">
        <v>0.23400000000000001</v>
      </c>
      <c r="AJ43" s="20">
        <f t="shared" si="28"/>
        <v>1.0840000000000032</v>
      </c>
      <c r="AK43" s="20">
        <f t="shared" si="29"/>
        <v>0.3860116578550446</v>
      </c>
      <c r="AL43" s="20">
        <f t="shared" si="30"/>
        <v>0.14900500000000003</v>
      </c>
      <c r="AM43" s="8">
        <v>1.28</v>
      </c>
      <c r="AN43" s="20">
        <f t="shared" si="31"/>
        <v>3.8415999999998764E-2</v>
      </c>
      <c r="AV43" s="15" t="s">
        <v>101</v>
      </c>
      <c r="AW43" s="15" t="s">
        <v>46</v>
      </c>
      <c r="AX43" s="3" t="s">
        <v>13</v>
      </c>
      <c r="AY43" s="3" t="s">
        <v>49</v>
      </c>
      <c r="AZ43" s="1" t="s">
        <v>58</v>
      </c>
      <c r="BA43" s="20">
        <v>12.144</v>
      </c>
      <c r="BB43" s="20">
        <v>0.20499999999999999</v>
      </c>
      <c r="BC43" s="20">
        <v>11.46</v>
      </c>
      <c r="BD43" s="20">
        <v>0.08</v>
      </c>
      <c r="BE43" s="20">
        <f t="shared" si="24"/>
        <v>0.68399999999999928</v>
      </c>
      <c r="BF43" s="20">
        <f t="shared" si="25"/>
        <v>0.22005681084665385</v>
      </c>
      <c r="BG43" s="20">
        <f t="shared" si="26"/>
        <v>4.8424999999999989E-2</v>
      </c>
      <c r="BH43" s="8">
        <v>-1.28</v>
      </c>
      <c r="BI43" s="20">
        <f t="shared" si="27"/>
        <v>3.8572959999999972</v>
      </c>
    </row>
    <row r="44" spans="10:62">
      <c r="J44" s="15" t="s">
        <v>45</v>
      </c>
      <c r="K44" s="1" t="s">
        <v>70</v>
      </c>
      <c r="L44" s="4" t="s">
        <v>8</v>
      </c>
      <c r="M44" s="3" t="s">
        <v>73</v>
      </c>
      <c r="N44" s="1" t="s">
        <v>77</v>
      </c>
      <c r="O44" s="20">
        <v>-8.5299999999999994</v>
      </c>
      <c r="P44" s="20">
        <v>9.4E-2</v>
      </c>
      <c r="Q44" s="20">
        <v>-8.3219999999999992</v>
      </c>
      <c r="R44" s="20">
        <v>0.18</v>
      </c>
      <c r="S44" s="20">
        <f>O44-Q44</f>
        <v>-0.20800000000000018</v>
      </c>
      <c r="T44" s="20">
        <f>SQRT((P44)^2 + (R44)^2)</f>
        <v>0.20306649157357301</v>
      </c>
      <c r="U44" s="20">
        <f>T44^2</f>
        <v>4.1236000000000002E-2</v>
      </c>
      <c r="V44" s="8">
        <v>-0.15</v>
      </c>
      <c r="W44" s="20">
        <f>(S44-V44)^2</f>
        <v>3.3640000000000219E-3</v>
      </c>
      <c r="AA44" s="15" t="s">
        <v>82</v>
      </c>
      <c r="AB44" s="15" t="s">
        <v>46</v>
      </c>
      <c r="AC44" s="3" t="s">
        <v>13</v>
      </c>
      <c r="AD44" s="3" t="s">
        <v>49</v>
      </c>
      <c r="AE44" s="1" t="s">
        <v>58</v>
      </c>
      <c r="AF44" s="20">
        <v>12.587</v>
      </c>
      <c r="AG44" s="20">
        <v>0.14499999999999999</v>
      </c>
      <c r="AH44" s="20">
        <v>11.454000000000001</v>
      </c>
      <c r="AI44" s="20">
        <v>0.09</v>
      </c>
      <c r="AJ44" s="20">
        <f t="shared" si="28"/>
        <v>1.1329999999999991</v>
      </c>
      <c r="AK44" s="20">
        <f t="shared" si="29"/>
        <v>0.1706604816587601</v>
      </c>
      <c r="AL44" s="20">
        <f t="shared" si="30"/>
        <v>2.9124999999999995E-2</v>
      </c>
      <c r="AM44" s="8">
        <v>-1.28</v>
      </c>
      <c r="AN44" s="20">
        <f t="shared" si="31"/>
        <v>5.822568999999997</v>
      </c>
      <c r="AV44" s="15" t="s">
        <v>101</v>
      </c>
      <c r="AW44" s="15" t="s">
        <v>46</v>
      </c>
      <c r="AX44" s="3" t="s">
        <v>15</v>
      </c>
      <c r="AY44" s="3" t="s">
        <v>50</v>
      </c>
      <c r="AZ44" s="1" t="s">
        <v>59</v>
      </c>
      <c r="BA44" s="20">
        <v>14.170999999999999</v>
      </c>
      <c r="BB44" s="20">
        <v>0.23200000000000001</v>
      </c>
      <c r="BC44" s="20">
        <v>13.475</v>
      </c>
      <c r="BD44" s="20">
        <v>0.1</v>
      </c>
      <c r="BE44" s="20">
        <f t="shared" si="24"/>
        <v>0.69599999999999973</v>
      </c>
      <c r="BF44" s="20">
        <f t="shared" si="25"/>
        <v>0.25263412279421005</v>
      </c>
      <c r="BG44" s="20">
        <f t="shared" si="26"/>
        <v>6.3824000000000006E-2</v>
      </c>
      <c r="BH44" s="8">
        <v>1.26</v>
      </c>
      <c r="BI44" s="20">
        <f t="shared" si="27"/>
        <v>0.31809600000000032</v>
      </c>
    </row>
    <row r="45" spans="10:62">
      <c r="J45" s="15" t="s">
        <v>45</v>
      </c>
      <c r="K45" s="1" t="s">
        <v>70</v>
      </c>
      <c r="L45" s="3" t="s">
        <v>14</v>
      </c>
      <c r="M45" s="3" t="s">
        <v>74</v>
      </c>
      <c r="N45" s="1" t="s">
        <v>78</v>
      </c>
      <c r="O45" s="20">
        <v>-11.339</v>
      </c>
      <c r="P45" s="20">
        <v>0.28199999999999997</v>
      </c>
      <c r="Q45" s="20">
        <v>-10.26</v>
      </c>
      <c r="R45" s="20">
        <v>0.121</v>
      </c>
      <c r="S45" s="20">
        <f>O45-Q45</f>
        <v>-1.0790000000000006</v>
      </c>
      <c r="T45" s="20">
        <f>SQRT((P45)^2 + (R45)^2)</f>
        <v>0.30686316168611699</v>
      </c>
      <c r="U45" s="20">
        <f>T45^2</f>
        <v>9.4164999999999985E-2</v>
      </c>
      <c r="V45" s="8">
        <v>-0.78</v>
      </c>
      <c r="W45" s="20">
        <f>(S45-V45)^2</f>
        <v>8.9401000000000355E-2</v>
      </c>
      <c r="AA45" s="15" t="s">
        <v>82</v>
      </c>
      <c r="AB45" s="15" t="s">
        <v>46</v>
      </c>
      <c r="AC45" s="3" t="s">
        <v>15</v>
      </c>
      <c r="AD45" s="3" t="s">
        <v>50</v>
      </c>
      <c r="AE45" s="1" t="s">
        <v>59</v>
      </c>
      <c r="AF45" s="20">
        <v>15.212999999999999</v>
      </c>
      <c r="AG45" s="20">
        <v>0.249</v>
      </c>
      <c r="AH45" s="20">
        <v>13.407999999999999</v>
      </c>
      <c r="AI45" s="20">
        <v>7.0000000000000007E-2</v>
      </c>
      <c r="AJ45" s="20">
        <f t="shared" si="28"/>
        <v>1.8049999999999997</v>
      </c>
      <c r="AK45" s="20">
        <f t="shared" si="29"/>
        <v>0.25865227623200998</v>
      </c>
      <c r="AL45" s="20">
        <f t="shared" si="30"/>
        <v>6.6901000000000002E-2</v>
      </c>
      <c r="AM45" s="8">
        <v>1.26</v>
      </c>
      <c r="AN45" s="20">
        <f t="shared" si="31"/>
        <v>0.29702499999999971</v>
      </c>
      <c r="AV45" s="15" t="s">
        <v>101</v>
      </c>
      <c r="AW45" s="15" t="s">
        <v>46</v>
      </c>
      <c r="AX45" s="3" t="s">
        <v>16</v>
      </c>
      <c r="AY45" s="3" t="s">
        <v>51</v>
      </c>
      <c r="AZ45" s="1" t="s">
        <v>60</v>
      </c>
      <c r="BA45" s="20">
        <v>-5.2069999999999999</v>
      </c>
      <c r="BB45" s="20">
        <v>0.113</v>
      </c>
      <c r="BC45" s="20">
        <v>-6.3109999999999999</v>
      </c>
      <c r="BD45" s="20">
        <v>4.8000000000000001E-2</v>
      </c>
      <c r="BE45" s="20">
        <f t="shared" si="24"/>
        <v>1.1040000000000001</v>
      </c>
      <c r="BF45" s="20">
        <f t="shared" si="25"/>
        <v>0.12277214667830812</v>
      </c>
      <c r="BG45" s="20">
        <f t="shared" si="26"/>
        <v>1.5073000000000003E-2</v>
      </c>
      <c r="BH45" s="8">
        <v>1.35</v>
      </c>
      <c r="BI45" s="20">
        <f t="shared" si="27"/>
        <v>6.0516E-2</v>
      </c>
    </row>
    <row r="46" spans="10:62">
      <c r="O46" s="20"/>
      <c r="P46" s="20"/>
      <c r="Q46" s="20"/>
      <c r="R46" s="20"/>
      <c r="S46" s="20"/>
      <c r="T46" s="20"/>
      <c r="U46" s="18" t="s">
        <v>67</v>
      </c>
      <c r="V46" s="18"/>
      <c r="W46" s="18" t="s">
        <v>67</v>
      </c>
      <c r="AA46" s="15" t="s">
        <v>82</v>
      </c>
      <c r="AB46" s="15" t="s">
        <v>46</v>
      </c>
      <c r="AC46" s="3" t="s">
        <v>16</v>
      </c>
      <c r="AD46" s="3" t="s">
        <v>51</v>
      </c>
      <c r="AE46" s="1" t="s">
        <v>60</v>
      </c>
      <c r="AF46" s="20">
        <v>-5.4050000000000002</v>
      </c>
      <c r="AG46" s="20">
        <v>0.22500000000000001</v>
      </c>
      <c r="AH46" s="20">
        <v>-6.15</v>
      </c>
      <c r="AI46" s="20">
        <v>9.0999999999999998E-2</v>
      </c>
      <c r="AJ46" s="20">
        <f t="shared" si="28"/>
        <v>0.74500000000000011</v>
      </c>
      <c r="AK46" s="20">
        <f t="shared" si="29"/>
        <v>0.24270558296009592</v>
      </c>
      <c r="AL46" s="20">
        <f t="shared" si="30"/>
        <v>5.8906000000000007E-2</v>
      </c>
      <c r="AM46" s="8">
        <v>1.35</v>
      </c>
      <c r="AN46" s="20">
        <f t="shared" si="31"/>
        <v>0.36602499999999999</v>
      </c>
      <c r="AV46" s="15" t="s">
        <v>101</v>
      </c>
      <c r="AW46" s="15" t="s">
        <v>46</v>
      </c>
      <c r="AX46" s="3" t="s">
        <v>17</v>
      </c>
      <c r="AY46" s="3" t="s">
        <v>52</v>
      </c>
      <c r="AZ46" s="1" t="s">
        <v>61</v>
      </c>
      <c r="BA46" s="20">
        <v>69.168000000000006</v>
      </c>
      <c r="BB46" s="20">
        <v>0.27700000000000002</v>
      </c>
      <c r="BC46" s="20">
        <v>70.206999999999994</v>
      </c>
      <c r="BD46" s="20">
        <v>2.9000000000000001E-2</v>
      </c>
      <c r="BE46" s="20">
        <f t="shared" si="24"/>
        <v>-1.0389999999999873</v>
      </c>
      <c r="BF46" s="20">
        <f t="shared" si="25"/>
        <v>0.27851391347650839</v>
      </c>
      <c r="BG46" s="20">
        <f t="shared" si="26"/>
        <v>7.757E-2</v>
      </c>
      <c r="BH46" s="8">
        <v>1.76</v>
      </c>
      <c r="BI46" s="20">
        <f t="shared" si="27"/>
        <v>7.8344009999999278</v>
      </c>
    </row>
    <row r="47" spans="10:62">
      <c r="O47" s="20"/>
      <c r="P47" s="20"/>
      <c r="Q47" s="20"/>
      <c r="R47" s="20"/>
      <c r="S47" s="20"/>
      <c r="T47" s="20"/>
      <c r="U47" s="20">
        <f>SUM(U32:U45)</f>
        <v>1.154906</v>
      </c>
      <c r="V47" s="20"/>
      <c r="W47" s="20">
        <f>SUM(W32:W45)</f>
        <v>5.3796709999999814</v>
      </c>
      <c r="AA47" s="15" t="s">
        <v>82</v>
      </c>
      <c r="AB47" s="15" t="s">
        <v>46</v>
      </c>
      <c r="AC47" s="3" t="s">
        <v>17</v>
      </c>
      <c r="AD47" s="3" t="s">
        <v>52</v>
      </c>
      <c r="AE47" s="1" t="s">
        <v>61</v>
      </c>
      <c r="AF47" s="20">
        <v>69.421000000000006</v>
      </c>
      <c r="AG47" s="20">
        <v>0.41299999999999998</v>
      </c>
      <c r="AH47" s="20">
        <v>70.144000000000005</v>
      </c>
      <c r="AI47" s="20">
        <v>2.5999999999999999E-2</v>
      </c>
      <c r="AJ47" s="20">
        <f t="shared" si="28"/>
        <v>-0.72299999999999898</v>
      </c>
      <c r="AK47" s="20">
        <f t="shared" si="29"/>
        <v>0.41381759266614077</v>
      </c>
      <c r="AL47" s="20">
        <f t="shared" si="30"/>
        <v>0.17124500000000001</v>
      </c>
      <c r="AM47" s="8">
        <v>1.76</v>
      </c>
      <c r="AN47" s="20">
        <f t="shared" si="31"/>
        <v>6.1652889999999942</v>
      </c>
      <c r="AV47" s="15" t="s">
        <v>101</v>
      </c>
      <c r="AW47" s="15" t="s">
        <v>46</v>
      </c>
      <c r="AX47" s="3" t="s">
        <v>18</v>
      </c>
      <c r="AY47" s="3" t="s">
        <v>85</v>
      </c>
      <c r="AZ47" s="1" t="s">
        <v>91</v>
      </c>
      <c r="BA47" s="20">
        <v>-5.6740000000000004</v>
      </c>
      <c r="BB47" s="20">
        <v>0.216</v>
      </c>
      <c r="BC47" s="20">
        <v>-7.0250000000000004</v>
      </c>
      <c r="BD47" s="20">
        <v>0.20300000000000001</v>
      </c>
      <c r="BE47" s="20">
        <f t="shared" si="24"/>
        <v>1.351</v>
      </c>
      <c r="BF47" s="20">
        <f t="shared" si="25"/>
        <v>0.29642030969554028</v>
      </c>
      <c r="BG47" s="20">
        <f t="shared" si="26"/>
        <v>8.7865000000000013E-2</v>
      </c>
      <c r="BH47" s="8">
        <v>0.54</v>
      </c>
      <c r="BI47" s="20">
        <f t="shared" si="27"/>
        <v>0.65772099999999989</v>
      </c>
    </row>
    <row r="48" spans="10:62">
      <c r="O48" s="20"/>
      <c r="P48" s="20"/>
      <c r="Q48" s="20"/>
      <c r="R48" s="20"/>
      <c r="S48" s="20"/>
      <c r="T48" s="20"/>
      <c r="U48" s="20"/>
      <c r="V48" s="20"/>
      <c r="W48" s="20"/>
      <c r="AA48" s="15" t="s">
        <v>82</v>
      </c>
      <c r="AB48" s="15" t="s">
        <v>46</v>
      </c>
      <c r="AC48" s="3" t="s">
        <v>18</v>
      </c>
      <c r="AD48" s="3" t="s">
        <v>85</v>
      </c>
      <c r="AE48" s="1" t="s">
        <v>91</v>
      </c>
      <c r="AF48" s="20">
        <v>-6.8070000000000004</v>
      </c>
      <c r="AG48" s="20">
        <v>0.33900000000000002</v>
      </c>
      <c r="AH48" s="20">
        <v>-6.8540000000000001</v>
      </c>
      <c r="AI48" s="20">
        <v>0.27700000000000002</v>
      </c>
      <c r="AJ48" s="20">
        <f t="shared" si="28"/>
        <v>4.6999999999999709E-2</v>
      </c>
      <c r="AK48" s="20">
        <f t="shared" si="29"/>
        <v>0.4377784827969507</v>
      </c>
      <c r="AL48" s="20">
        <f t="shared" si="30"/>
        <v>0.19165000000000007</v>
      </c>
      <c r="AM48" s="8">
        <v>0.54</v>
      </c>
      <c r="AN48" s="20">
        <f t="shared" si="31"/>
        <v>0.24304900000000032</v>
      </c>
      <c r="AV48" s="15" t="s">
        <v>101</v>
      </c>
      <c r="AW48" s="15" t="s">
        <v>46</v>
      </c>
      <c r="AX48" s="3" t="s">
        <v>20</v>
      </c>
      <c r="AY48" s="3" t="s">
        <v>53</v>
      </c>
      <c r="AZ48" s="1" t="s">
        <v>62</v>
      </c>
      <c r="BA48" s="20">
        <v>46.331000000000003</v>
      </c>
      <c r="BB48" s="20">
        <v>0.16800000000000001</v>
      </c>
      <c r="BC48" s="20">
        <v>46.075000000000003</v>
      </c>
      <c r="BD48" s="20">
        <v>4.8000000000000001E-2</v>
      </c>
      <c r="BE48" s="20">
        <f t="shared" si="24"/>
        <v>0.25600000000000023</v>
      </c>
      <c r="BF48" s="20">
        <f t="shared" si="25"/>
        <v>0.17472263734273244</v>
      </c>
      <c r="BG48" s="20">
        <f t="shared" si="26"/>
        <v>3.0528E-2</v>
      </c>
      <c r="BH48" s="8">
        <v>-0.35</v>
      </c>
      <c r="BI48" s="20">
        <f t="shared" si="27"/>
        <v>0.36723600000000023</v>
      </c>
    </row>
    <row r="49" spans="10:61">
      <c r="O49" s="20"/>
      <c r="P49" s="20"/>
      <c r="Q49" s="20"/>
      <c r="R49" s="20"/>
      <c r="S49" s="20"/>
      <c r="T49" s="20"/>
      <c r="U49" s="20"/>
      <c r="V49" s="19" t="s">
        <v>68</v>
      </c>
      <c r="W49" s="20">
        <f>SQRT(W47/14)</f>
        <v>0.61988887252935343</v>
      </c>
      <c r="AA49" s="15" t="s">
        <v>82</v>
      </c>
      <c r="AB49" s="15" t="s">
        <v>46</v>
      </c>
      <c r="AC49" s="3" t="s">
        <v>20</v>
      </c>
      <c r="AD49" s="3" t="s">
        <v>53</v>
      </c>
      <c r="AE49" s="1" t="s">
        <v>62</v>
      </c>
      <c r="AF49" s="20">
        <v>46.38</v>
      </c>
      <c r="AG49" s="20">
        <v>0.126</v>
      </c>
      <c r="AH49" s="20">
        <v>45.868000000000002</v>
      </c>
      <c r="AI49" s="20">
        <v>0.08</v>
      </c>
      <c r="AJ49" s="20">
        <f t="shared" si="28"/>
        <v>0.51200000000000045</v>
      </c>
      <c r="AK49" s="20">
        <f t="shared" si="29"/>
        <v>0.14925146565444508</v>
      </c>
      <c r="AL49" s="20">
        <f t="shared" si="30"/>
        <v>2.2276000000000001E-2</v>
      </c>
      <c r="AM49" s="8">
        <v>-0.35</v>
      </c>
      <c r="AN49" s="20">
        <f t="shared" si="31"/>
        <v>0.7430440000000007</v>
      </c>
      <c r="AV49" s="15" t="s">
        <v>101</v>
      </c>
      <c r="AW49" s="15" t="s">
        <v>46</v>
      </c>
      <c r="AX49" s="3" t="s">
        <v>22</v>
      </c>
      <c r="AY49" s="3" t="s">
        <v>54</v>
      </c>
      <c r="AZ49" s="1" t="s">
        <v>63</v>
      </c>
      <c r="BA49" s="20">
        <v>-2.5760000000000001</v>
      </c>
      <c r="BB49" s="20">
        <v>5.2999999999999999E-2</v>
      </c>
      <c r="BC49" s="20">
        <v>-2.5590000000000002</v>
      </c>
      <c r="BD49" s="20">
        <v>7.3999999999999996E-2</v>
      </c>
      <c r="BE49" s="20">
        <f t="shared" si="24"/>
        <v>-1.6999999999999904E-2</v>
      </c>
      <c r="BF49" s="20">
        <f t="shared" si="25"/>
        <v>9.1021975368588873E-2</v>
      </c>
      <c r="BG49" s="20">
        <f t="shared" si="26"/>
        <v>8.284999999999999E-3</v>
      </c>
      <c r="BH49" s="8">
        <v>0.52</v>
      </c>
      <c r="BI49" s="20">
        <f t="shared" si="27"/>
        <v>0.28836899999999993</v>
      </c>
    </row>
    <row r="50" spans="10:61">
      <c r="O50" s="20"/>
      <c r="P50" s="20"/>
      <c r="Q50" s="20"/>
      <c r="R50" s="20"/>
      <c r="S50" s="20"/>
      <c r="T50" s="20"/>
      <c r="U50" s="20"/>
      <c r="V50" s="19" t="s">
        <v>40</v>
      </c>
      <c r="W50" s="20">
        <f>SQRT(U47/14)</f>
        <v>0.28721644401789692</v>
      </c>
      <c r="AA50" s="15" t="s">
        <v>82</v>
      </c>
      <c r="AB50" s="15" t="s">
        <v>46</v>
      </c>
      <c r="AC50" s="3" t="s">
        <v>22</v>
      </c>
      <c r="AD50" s="3" t="s">
        <v>54</v>
      </c>
      <c r="AE50" s="1" t="s">
        <v>63</v>
      </c>
      <c r="AF50" s="20">
        <v>-2.5150000000000001</v>
      </c>
      <c r="AG50" s="20">
        <v>0.13100000000000001</v>
      </c>
      <c r="AH50" s="20">
        <v>-2.371</v>
      </c>
      <c r="AI50" s="20">
        <v>0.10299999999999999</v>
      </c>
      <c r="AJ50" s="20">
        <f t="shared" si="28"/>
        <v>-0.14400000000000013</v>
      </c>
      <c r="AK50" s="20">
        <f t="shared" si="29"/>
        <v>0.1666433316997713</v>
      </c>
      <c r="AL50" s="20">
        <f t="shared" si="30"/>
        <v>2.7770000000000003E-2</v>
      </c>
      <c r="AM50" s="8">
        <v>0.52</v>
      </c>
      <c r="AN50" s="20">
        <f t="shared" si="31"/>
        <v>0.44089600000000018</v>
      </c>
      <c r="AV50" s="15" t="s">
        <v>101</v>
      </c>
      <c r="AW50" s="15" t="s">
        <v>46</v>
      </c>
      <c r="AX50" s="3" t="s">
        <v>23</v>
      </c>
      <c r="AY50" s="3" t="s">
        <v>55</v>
      </c>
      <c r="AZ50" s="1" t="s">
        <v>64</v>
      </c>
      <c r="BA50" s="20">
        <v>-4.0140000000000002</v>
      </c>
      <c r="BB50" s="20">
        <v>0.20300000000000001</v>
      </c>
      <c r="BC50" s="20">
        <v>-4.47</v>
      </c>
      <c r="BD50" s="20">
        <v>0.13700000000000001</v>
      </c>
      <c r="BE50" s="20">
        <f t="shared" si="24"/>
        <v>0.45599999999999952</v>
      </c>
      <c r="BF50" s="20">
        <f t="shared" si="25"/>
        <v>0.24490406284910834</v>
      </c>
      <c r="BG50" s="20">
        <f t="shared" si="26"/>
        <v>5.997800000000001E-2</v>
      </c>
      <c r="BH50" s="8">
        <v>1.08</v>
      </c>
      <c r="BI50" s="20">
        <f t="shared" si="27"/>
        <v>0.38937600000000067</v>
      </c>
    </row>
    <row r="51" spans="10:61">
      <c r="O51" s="20"/>
      <c r="P51" s="20"/>
      <c r="Q51" s="20"/>
      <c r="R51" s="20"/>
      <c r="S51" s="20"/>
      <c r="T51" s="20"/>
      <c r="U51" s="20"/>
      <c r="V51" s="20"/>
      <c r="W51" s="20"/>
      <c r="AA51" s="15" t="s">
        <v>82</v>
      </c>
      <c r="AB51" s="15" t="s">
        <v>46</v>
      </c>
      <c r="AC51" s="3" t="s">
        <v>23</v>
      </c>
      <c r="AD51" s="3" t="s">
        <v>55</v>
      </c>
      <c r="AE51" s="1" t="s">
        <v>64</v>
      </c>
      <c r="AF51" s="20">
        <v>-4.2750000000000004</v>
      </c>
      <c r="AG51" s="20">
        <v>0.29199999999999998</v>
      </c>
      <c r="AH51" s="20">
        <v>-4.6749999999999998</v>
      </c>
      <c r="AI51" s="20">
        <v>0.09</v>
      </c>
      <c r="AJ51" s="20">
        <f t="shared" si="28"/>
        <v>0.39999999999999947</v>
      </c>
      <c r="AK51" s="20">
        <f t="shared" si="29"/>
        <v>0.30555523232306137</v>
      </c>
      <c r="AL51" s="20">
        <f t="shared" si="30"/>
        <v>9.3364000000000003E-2</v>
      </c>
      <c r="AM51" s="8">
        <v>1.08</v>
      </c>
      <c r="AN51" s="20">
        <f t="shared" si="31"/>
        <v>0.46240000000000081</v>
      </c>
      <c r="AV51" s="15" t="s">
        <v>101</v>
      </c>
      <c r="AW51" s="15" t="s">
        <v>46</v>
      </c>
      <c r="AX51" s="4" t="s">
        <v>24</v>
      </c>
      <c r="AY51" s="3" t="s">
        <v>86</v>
      </c>
      <c r="AZ51" s="1" t="s">
        <v>92</v>
      </c>
      <c r="BA51" s="20">
        <v>-8.4879999999999995</v>
      </c>
      <c r="BB51" s="20">
        <v>0.107</v>
      </c>
      <c r="BC51" s="20">
        <v>-9.1780000000000008</v>
      </c>
      <c r="BD51" s="20">
        <v>0.22900000000000001</v>
      </c>
      <c r="BE51" s="20">
        <f t="shared" si="24"/>
        <v>0.69000000000000128</v>
      </c>
      <c r="BF51" s="20">
        <f t="shared" si="25"/>
        <v>0.25276471272707352</v>
      </c>
      <c r="BG51" s="20">
        <f t="shared" si="26"/>
        <v>6.3890000000000002E-2</v>
      </c>
      <c r="BH51" s="8">
        <v>1.42</v>
      </c>
      <c r="BI51" s="20">
        <f t="shared" si="27"/>
        <v>0.53289999999999804</v>
      </c>
    </row>
    <row r="52" spans="10:61" ht="17">
      <c r="J52" s="10" t="s">
        <v>80</v>
      </c>
      <c r="O52" s="20"/>
      <c r="P52" s="20"/>
      <c r="Q52" s="20"/>
      <c r="R52" s="20"/>
      <c r="S52" s="20"/>
      <c r="T52" s="20"/>
      <c r="U52" s="20"/>
      <c r="V52" s="20"/>
      <c r="W52" s="20"/>
      <c r="AA52" s="15" t="s">
        <v>101</v>
      </c>
      <c r="AB52" s="15" t="s">
        <v>46</v>
      </c>
      <c r="AC52" s="4" t="s">
        <v>24</v>
      </c>
      <c r="AD52" s="3" t="s">
        <v>86</v>
      </c>
      <c r="AE52" s="1" t="s">
        <v>92</v>
      </c>
      <c r="AF52" s="20">
        <v>-8.4879999999999995</v>
      </c>
      <c r="AG52" s="20">
        <v>0.107</v>
      </c>
      <c r="AH52" s="20">
        <v>-9.1780000000000008</v>
      </c>
      <c r="AI52" s="20">
        <v>0.22900000000000001</v>
      </c>
      <c r="AJ52" s="20">
        <f t="shared" si="28"/>
        <v>0.69000000000000128</v>
      </c>
      <c r="AK52" s="20">
        <f t="shared" si="29"/>
        <v>0.25276471272707352</v>
      </c>
      <c r="AL52" s="20">
        <f t="shared" si="30"/>
        <v>6.3890000000000002E-2</v>
      </c>
      <c r="AM52" s="8">
        <v>1.42</v>
      </c>
      <c r="AN52" s="20">
        <f t="shared" si="31"/>
        <v>0.53289999999999804</v>
      </c>
      <c r="AV52" s="15" t="s">
        <v>101</v>
      </c>
      <c r="AW52" s="15" t="s">
        <v>46</v>
      </c>
      <c r="AX52" s="8" t="s">
        <v>27</v>
      </c>
      <c r="AY52" s="9" t="s">
        <v>28</v>
      </c>
      <c r="AZ52" s="1" t="s">
        <v>65</v>
      </c>
      <c r="BA52" s="20">
        <v>-8.32</v>
      </c>
      <c r="BB52" s="20">
        <v>8.1394099999999997E-2</v>
      </c>
      <c r="BC52" s="20">
        <v>-8.6389999999999993</v>
      </c>
      <c r="BD52" s="20">
        <v>2.4413109999999998E-2</v>
      </c>
      <c r="BE52" s="20">
        <f t="shared" si="24"/>
        <v>0.31899999999999906</v>
      </c>
      <c r="BF52" s="20">
        <f t="shared" si="25"/>
        <v>8.4976464122026751E-2</v>
      </c>
      <c r="BG52" s="20">
        <f t="shared" si="26"/>
        <v>7.2209994546820998E-3</v>
      </c>
      <c r="BH52" s="9">
        <v>-0.21</v>
      </c>
      <c r="BI52" s="20">
        <f t="shared" si="27"/>
        <v>0.27984099999999895</v>
      </c>
    </row>
    <row r="53" spans="10:61">
      <c r="J53" s="12" t="s">
        <v>30</v>
      </c>
      <c r="K53" s="12" t="s">
        <v>31</v>
      </c>
      <c r="L53" s="13" t="s">
        <v>32</v>
      </c>
      <c r="M53" s="12" t="s">
        <v>33</v>
      </c>
      <c r="N53" s="12" t="s">
        <v>34</v>
      </c>
      <c r="O53" s="12" t="s">
        <v>35</v>
      </c>
      <c r="P53" s="12" t="s">
        <v>36</v>
      </c>
      <c r="Q53" s="12" t="s">
        <v>37</v>
      </c>
      <c r="R53" s="12" t="s">
        <v>38</v>
      </c>
      <c r="S53" s="12" t="s">
        <v>39</v>
      </c>
      <c r="T53" s="14" t="s">
        <v>40</v>
      </c>
      <c r="U53" s="12" t="s">
        <v>41</v>
      </c>
      <c r="V53" s="12" t="s">
        <v>42</v>
      </c>
      <c r="W53" s="12" t="s">
        <v>43</v>
      </c>
      <c r="AA53" s="15" t="s">
        <v>82</v>
      </c>
      <c r="AB53" s="15" t="s">
        <v>46</v>
      </c>
      <c r="AC53" s="8" t="s">
        <v>27</v>
      </c>
      <c r="AD53" s="9" t="s">
        <v>28</v>
      </c>
      <c r="AE53" s="1" t="s">
        <v>65</v>
      </c>
      <c r="AF53" s="20">
        <v>-8.1370000000000005</v>
      </c>
      <c r="AG53" s="20">
        <v>0.107</v>
      </c>
      <c r="AH53" s="20">
        <v>-8.5500000000000007</v>
      </c>
      <c r="AI53" s="20">
        <v>9.1923879999999999E-2</v>
      </c>
      <c r="AJ53" s="20">
        <f t="shared" si="28"/>
        <v>0.41300000000000026</v>
      </c>
      <c r="AK53" s="20">
        <f t="shared" si="29"/>
        <v>0.14106381433328108</v>
      </c>
      <c r="AL53" s="20">
        <f t="shared" si="30"/>
        <v>1.9898999714254396E-2</v>
      </c>
      <c r="AM53" s="9">
        <v>-0.21</v>
      </c>
      <c r="AN53" s="20">
        <f t="shared" si="31"/>
        <v>0.38812900000000028</v>
      </c>
      <c r="AV53" s="15" t="s">
        <v>101</v>
      </c>
      <c r="AW53" s="15" t="s">
        <v>46</v>
      </c>
      <c r="AX53" s="3" t="s">
        <v>25</v>
      </c>
      <c r="AY53" s="3" t="s">
        <v>87</v>
      </c>
      <c r="AZ53" s="1" t="s">
        <v>93</v>
      </c>
      <c r="BA53" s="20">
        <v>71.227999999999994</v>
      </c>
      <c r="BB53" s="20">
        <v>0.373</v>
      </c>
      <c r="BC53" s="20">
        <v>69.39</v>
      </c>
      <c r="BD53" s="20">
        <v>0.107</v>
      </c>
      <c r="BE53" s="20">
        <f>BA53-BC53</f>
        <v>1.8379999999999939</v>
      </c>
      <c r="BF53" s="20">
        <f>SQRT((BB53)^2 + (BD53)^2)</f>
        <v>0.38804381195942295</v>
      </c>
      <c r="BG53" s="20">
        <f>BF53^2</f>
        <v>0.15057799999999999</v>
      </c>
      <c r="BH53" s="8">
        <v>1.1100000000000001</v>
      </c>
      <c r="BI53" s="20">
        <f>(BE53-BH53)^2</f>
        <v>0.52998399999999091</v>
      </c>
    </row>
    <row r="54" spans="10:61">
      <c r="J54" s="15" t="s">
        <v>45</v>
      </c>
      <c r="K54" s="15" t="s">
        <v>46</v>
      </c>
      <c r="L54" s="3" t="s">
        <v>5</v>
      </c>
      <c r="M54" s="3" t="s">
        <v>47</v>
      </c>
      <c r="N54" s="1" t="s">
        <v>56</v>
      </c>
      <c r="O54" s="20">
        <v>-13.536</v>
      </c>
      <c r="P54" s="20">
        <v>0.45700000000000002</v>
      </c>
      <c r="Q54" s="20">
        <v>-13.862</v>
      </c>
      <c r="R54" s="20">
        <v>0.16300000000000001</v>
      </c>
      <c r="S54" s="20">
        <f>O54-Q54</f>
        <v>0.32600000000000051</v>
      </c>
      <c r="T54" s="20">
        <f>SQRT((P54)^2 + (R54)^2)</f>
        <v>0.48519892827581557</v>
      </c>
      <c r="U54" s="20">
        <f>T54^2</f>
        <v>0.23541800000000002</v>
      </c>
      <c r="V54" s="8">
        <v>-0.01</v>
      </c>
      <c r="W54" s="20">
        <f>(S54-V54)^2</f>
        <v>0.11289600000000034</v>
      </c>
      <c r="AA54" s="15" t="s">
        <v>82</v>
      </c>
      <c r="AB54" s="15" t="s">
        <v>46</v>
      </c>
      <c r="AC54" s="3" t="s">
        <v>25</v>
      </c>
      <c r="AD54" s="3" t="s">
        <v>87</v>
      </c>
      <c r="AE54" s="1" t="s">
        <v>93</v>
      </c>
      <c r="AF54" s="20">
        <v>71.343999999999994</v>
      </c>
      <c r="AG54" s="20">
        <v>0.19900000000000001</v>
      </c>
      <c r="AH54" s="20">
        <v>69.974999999999994</v>
      </c>
      <c r="AI54" s="20">
        <v>0.26800000000000002</v>
      </c>
      <c r="AJ54" s="20">
        <f t="shared" si="28"/>
        <v>1.3689999999999998</v>
      </c>
      <c r="AK54" s="20">
        <f t="shared" si="29"/>
        <v>0.33380383460949042</v>
      </c>
      <c r="AL54" s="20">
        <f t="shared" si="30"/>
        <v>0.11142500000000004</v>
      </c>
      <c r="AM54" s="8">
        <v>1.1100000000000001</v>
      </c>
      <c r="AN54" s="20">
        <f t="shared" si="31"/>
        <v>6.7080999999999835E-2</v>
      </c>
      <c r="AV54" s="15" t="s">
        <v>101</v>
      </c>
      <c r="AW54" s="15" t="s">
        <v>46</v>
      </c>
      <c r="AX54" s="3" t="s">
        <v>26</v>
      </c>
      <c r="AY54" s="3" t="s">
        <v>88</v>
      </c>
      <c r="AZ54" s="1" t="s">
        <v>94</v>
      </c>
      <c r="BA54" s="20">
        <v>-35.639000000000003</v>
      </c>
      <c r="BB54" s="20">
        <v>0.38500000000000001</v>
      </c>
      <c r="BC54" s="20">
        <v>-40.424999999999997</v>
      </c>
      <c r="BD54" s="20">
        <v>0.127</v>
      </c>
      <c r="BE54" s="20">
        <f>BA54-BC54</f>
        <v>4.7859999999999943</v>
      </c>
      <c r="BF54" s="20">
        <f>SQRT((BB54)^2 + (BD54)^2)</f>
        <v>0.4054059693689771</v>
      </c>
      <c r="BG54" s="20">
        <f>BF54^2</f>
        <v>0.164354</v>
      </c>
      <c r="BH54" s="8">
        <v>4.45</v>
      </c>
      <c r="BI54" s="20">
        <f>(BE54-BH54)^2</f>
        <v>0.11289599999999603</v>
      </c>
    </row>
    <row r="55" spans="10:61">
      <c r="J55" s="15" t="s">
        <v>45</v>
      </c>
      <c r="K55" s="15" t="s">
        <v>46</v>
      </c>
      <c r="L55" s="3" t="s">
        <v>7</v>
      </c>
      <c r="M55" s="3" t="s">
        <v>48</v>
      </c>
      <c r="N55" s="1" t="s">
        <v>57</v>
      </c>
      <c r="O55" s="20">
        <v>11.72</v>
      </c>
      <c r="P55" s="20">
        <v>0.115</v>
      </c>
      <c r="Q55" s="20">
        <v>11.284000000000001</v>
      </c>
      <c r="R55" s="20">
        <v>0.14000000000000001</v>
      </c>
      <c r="S55" s="20">
        <f t="shared" ref="S55:S63" si="32">O55-Q55</f>
        <v>0.43599999999999994</v>
      </c>
      <c r="T55" s="20">
        <f t="shared" ref="T55:T63" si="33">SQRT((P55)^2 + (R55)^2)</f>
        <v>0.1811767093199344</v>
      </c>
      <c r="U55" s="20">
        <f t="shared" ref="U55:U63" si="34">T55^2</f>
        <v>3.2825000000000007E-2</v>
      </c>
      <c r="V55" s="8">
        <v>0.7</v>
      </c>
      <c r="W55" s="20">
        <f t="shared" ref="W55:W63" si="35">(S55-V55)^2</f>
        <v>6.9696000000000008E-2</v>
      </c>
      <c r="AA55" s="15" t="s">
        <v>101</v>
      </c>
      <c r="AB55" s="15" t="s">
        <v>46</v>
      </c>
      <c r="AC55" s="3" t="s">
        <v>26</v>
      </c>
      <c r="AD55" s="3" t="s">
        <v>88</v>
      </c>
      <c r="AE55" s="1" t="s">
        <v>94</v>
      </c>
      <c r="AF55" s="20">
        <v>-35.639000000000003</v>
      </c>
      <c r="AG55" s="20">
        <v>0.38500000000000001</v>
      </c>
      <c r="AH55" s="20">
        <v>-40.424999999999997</v>
      </c>
      <c r="AI55" s="20">
        <v>0.127</v>
      </c>
      <c r="AJ55" s="20">
        <f t="shared" si="28"/>
        <v>4.7859999999999943</v>
      </c>
      <c r="AK55" s="20">
        <f t="shared" si="29"/>
        <v>0.4054059693689771</v>
      </c>
      <c r="AL55" s="20">
        <f t="shared" si="30"/>
        <v>0.164354</v>
      </c>
      <c r="AM55" s="8">
        <v>4.45</v>
      </c>
      <c r="AN55" s="20">
        <f t="shared" si="31"/>
        <v>0.11289599999999603</v>
      </c>
      <c r="AV55" s="15" t="s">
        <v>101</v>
      </c>
      <c r="AW55" s="1" t="s">
        <v>70</v>
      </c>
      <c r="AX55" s="3" t="s">
        <v>4</v>
      </c>
      <c r="AY55" s="3" t="s">
        <v>71</v>
      </c>
      <c r="AZ55" s="1" t="s">
        <v>75</v>
      </c>
      <c r="BA55" s="20">
        <v>46.500999999999998</v>
      </c>
      <c r="BB55" s="20">
        <v>0.09</v>
      </c>
      <c r="BC55" s="20">
        <v>46.497</v>
      </c>
      <c r="BD55" s="20">
        <v>8.2000000000000003E-2</v>
      </c>
      <c r="BE55" s="20">
        <f t="shared" ref="BE55:BE60" si="36">BA55-BC55</f>
        <v>3.9999999999977831E-3</v>
      </c>
      <c r="BF55" s="20">
        <f t="shared" ref="BF55:BF60" si="37">SQRT((BB55)^2 + (BD55)^2)</f>
        <v>0.1217538500417954</v>
      </c>
      <c r="BG55" s="20">
        <f t="shared" ref="BG55:BG60" si="38">BF55^2</f>
        <v>1.4824E-2</v>
      </c>
      <c r="BH55" s="8">
        <v>-0.24</v>
      </c>
      <c r="BI55" s="20">
        <f t="shared" ref="BI55:BI60" si="39">(BE55-BH55)^2</f>
        <v>5.9535999999998916E-2</v>
      </c>
    </row>
    <row r="56" spans="10:61">
      <c r="J56" s="15" t="s">
        <v>45</v>
      </c>
      <c r="K56" s="15" t="s">
        <v>46</v>
      </c>
      <c r="L56" s="3" t="s">
        <v>13</v>
      </c>
      <c r="M56" s="3" t="s">
        <v>49</v>
      </c>
      <c r="N56" s="1" t="s">
        <v>58</v>
      </c>
      <c r="O56" s="20">
        <v>11.25</v>
      </c>
      <c r="P56" s="20">
        <v>0.308</v>
      </c>
      <c r="Q56" s="20">
        <v>11.538</v>
      </c>
      <c r="R56" s="20">
        <v>0.104</v>
      </c>
      <c r="S56" s="20">
        <f t="shared" si="32"/>
        <v>-0.28800000000000026</v>
      </c>
      <c r="T56" s="20">
        <f t="shared" si="33"/>
        <v>0.32508460437246178</v>
      </c>
      <c r="U56" s="20">
        <f t="shared" si="34"/>
        <v>0.10568</v>
      </c>
      <c r="V56" s="8">
        <v>-1.28</v>
      </c>
      <c r="W56" s="20">
        <f t="shared" si="35"/>
        <v>0.98406399999999949</v>
      </c>
      <c r="AA56" s="15" t="s">
        <v>82</v>
      </c>
      <c r="AB56" s="1" t="s">
        <v>70</v>
      </c>
      <c r="AC56" s="3" t="s">
        <v>4</v>
      </c>
      <c r="AD56" s="3" t="s">
        <v>71</v>
      </c>
      <c r="AE56" s="1" t="s">
        <v>75</v>
      </c>
      <c r="AF56" s="20">
        <v>46.597000000000001</v>
      </c>
      <c r="AG56" s="20">
        <v>0.13800000000000001</v>
      </c>
      <c r="AH56" s="20">
        <v>46.381</v>
      </c>
      <c r="AI56" s="20">
        <v>7.5999999999999998E-2</v>
      </c>
      <c r="AJ56" s="20">
        <f t="shared" si="28"/>
        <v>0.21600000000000108</v>
      </c>
      <c r="AK56" s="20">
        <f t="shared" si="29"/>
        <v>0.15754364474646385</v>
      </c>
      <c r="AL56" s="20">
        <f t="shared" si="30"/>
        <v>2.4820000000000005E-2</v>
      </c>
      <c r="AM56" s="8">
        <v>-0.24</v>
      </c>
      <c r="AN56" s="20">
        <f t="shared" si="31"/>
        <v>0.20793600000000098</v>
      </c>
      <c r="AV56" s="15" t="s">
        <v>101</v>
      </c>
      <c r="AW56" s="1" t="s">
        <v>70</v>
      </c>
      <c r="AX56" s="4" t="s">
        <v>6</v>
      </c>
      <c r="AY56" s="3" t="s">
        <v>72</v>
      </c>
      <c r="AZ56" s="1" t="s">
        <v>76</v>
      </c>
      <c r="BA56" s="20">
        <v>-8.8770000000000007</v>
      </c>
      <c r="BB56" s="20">
        <v>2.9000000000000001E-2</v>
      </c>
      <c r="BC56" s="20">
        <v>-8.4480000000000004</v>
      </c>
      <c r="BD56" s="20">
        <v>0.115</v>
      </c>
      <c r="BE56" s="20">
        <f t="shared" si="36"/>
        <v>-0.42900000000000027</v>
      </c>
      <c r="BF56" s="20">
        <f t="shared" si="37"/>
        <v>0.11860016863394419</v>
      </c>
      <c r="BG56" s="20">
        <f t="shared" si="38"/>
        <v>1.4066E-2</v>
      </c>
      <c r="BH56" s="8">
        <v>0.97</v>
      </c>
      <c r="BI56" s="20">
        <f t="shared" si="39"/>
        <v>1.9572010000000006</v>
      </c>
    </row>
    <row r="57" spans="10:61">
      <c r="J57" s="15" t="s">
        <v>45</v>
      </c>
      <c r="K57" s="15" t="s">
        <v>46</v>
      </c>
      <c r="L57" s="3" t="s">
        <v>15</v>
      </c>
      <c r="M57" s="3" t="s">
        <v>50</v>
      </c>
      <c r="N57" s="1" t="s">
        <v>59</v>
      </c>
      <c r="O57" s="20">
        <v>14.666</v>
      </c>
      <c r="P57" s="20">
        <v>0.14299999999999999</v>
      </c>
      <c r="Q57" s="20">
        <v>13.262</v>
      </c>
      <c r="R57" s="20">
        <v>0.112</v>
      </c>
      <c r="S57" s="20">
        <f t="shared" si="32"/>
        <v>1.4039999999999999</v>
      </c>
      <c r="T57" s="20">
        <f t="shared" si="33"/>
        <v>0.18163975335812366</v>
      </c>
      <c r="U57" s="20">
        <f t="shared" si="34"/>
        <v>3.2992999999999995E-2</v>
      </c>
      <c r="V57" s="8">
        <v>1.26</v>
      </c>
      <c r="W57" s="20">
        <f t="shared" si="35"/>
        <v>2.0735999999999973E-2</v>
      </c>
      <c r="AA57" s="15" t="s">
        <v>101</v>
      </c>
      <c r="AB57" s="1" t="s">
        <v>70</v>
      </c>
      <c r="AC57" s="6" t="s">
        <v>6</v>
      </c>
      <c r="AD57" s="3" t="s">
        <v>72</v>
      </c>
      <c r="AE57" s="1" t="s">
        <v>76</v>
      </c>
      <c r="AF57" s="20">
        <v>-8.8770000000000007</v>
      </c>
      <c r="AG57" s="20">
        <v>2.9000000000000001E-2</v>
      </c>
      <c r="AH57" s="20">
        <v>-8.4480000000000004</v>
      </c>
      <c r="AI57" s="20">
        <v>0.115</v>
      </c>
      <c r="AJ57" s="20">
        <f t="shared" si="28"/>
        <v>-0.42900000000000027</v>
      </c>
      <c r="AK57" s="20">
        <f t="shared" si="29"/>
        <v>0.11860016863394419</v>
      </c>
      <c r="AL57" s="20">
        <f t="shared" si="30"/>
        <v>1.4066E-2</v>
      </c>
      <c r="AM57" s="8">
        <v>0.97</v>
      </c>
      <c r="AN57" s="20">
        <f t="shared" si="31"/>
        <v>1.9572010000000006</v>
      </c>
      <c r="AV57" s="15" t="s">
        <v>101</v>
      </c>
      <c r="AW57" s="1" t="s">
        <v>70</v>
      </c>
      <c r="AX57" s="4" t="s">
        <v>8</v>
      </c>
      <c r="AY57" s="3" t="s">
        <v>73</v>
      </c>
      <c r="AZ57" s="1" t="s">
        <v>77</v>
      </c>
      <c r="BA57" s="20">
        <v>-8.3810000000000002</v>
      </c>
      <c r="BB57" s="20">
        <v>6.2E-2</v>
      </c>
      <c r="BC57" s="20">
        <v>-8.2289999999999992</v>
      </c>
      <c r="BD57" s="20">
        <v>7.2999999999999995E-2</v>
      </c>
      <c r="BE57" s="20">
        <f t="shared" si="36"/>
        <v>-0.15200000000000102</v>
      </c>
      <c r="BF57" s="20">
        <f t="shared" si="37"/>
        <v>9.5775779819325918E-2</v>
      </c>
      <c r="BG57" s="20">
        <f t="shared" si="38"/>
        <v>9.1729999999999971E-3</v>
      </c>
      <c r="BH57" s="8">
        <v>-0.15</v>
      </c>
      <c r="BI57" s="20">
        <f t="shared" si="39"/>
        <v>4.0000000000041147E-6</v>
      </c>
    </row>
    <row r="58" spans="10:61">
      <c r="J58" s="15" t="s">
        <v>45</v>
      </c>
      <c r="K58" s="15" t="s">
        <v>46</v>
      </c>
      <c r="L58" s="3" t="s">
        <v>16</v>
      </c>
      <c r="M58" s="3" t="s">
        <v>51</v>
      </c>
      <c r="N58" s="1" t="s">
        <v>60</v>
      </c>
      <c r="O58" s="20">
        <v>-5.4580000000000002</v>
      </c>
      <c r="P58" s="20">
        <v>0.16700000000000001</v>
      </c>
      <c r="Q58" s="20">
        <v>-5.8310000000000004</v>
      </c>
      <c r="R58" s="20">
        <v>4.1000000000000002E-2</v>
      </c>
      <c r="S58" s="20">
        <f t="shared" si="32"/>
        <v>0.37300000000000022</v>
      </c>
      <c r="T58" s="20">
        <f t="shared" si="33"/>
        <v>0.1719592975096142</v>
      </c>
      <c r="U58" s="20">
        <f t="shared" si="34"/>
        <v>2.9570000000000006E-2</v>
      </c>
      <c r="V58" s="8">
        <v>1.35</v>
      </c>
      <c r="W58" s="20">
        <f t="shared" si="35"/>
        <v>0.95452899999999974</v>
      </c>
      <c r="AA58" s="15" t="s">
        <v>101</v>
      </c>
      <c r="AB58" s="1" t="s">
        <v>70</v>
      </c>
      <c r="AC58" s="6" t="s">
        <v>8</v>
      </c>
      <c r="AD58" s="3" t="s">
        <v>73</v>
      </c>
      <c r="AE58" s="1" t="s">
        <v>77</v>
      </c>
      <c r="AF58" s="20">
        <v>-8.3810000000000002</v>
      </c>
      <c r="AG58" s="20">
        <v>6.2E-2</v>
      </c>
      <c r="AH58" s="20">
        <v>-8.2289999999999992</v>
      </c>
      <c r="AI58" s="20">
        <v>7.2999999999999995E-2</v>
      </c>
      <c r="AJ58" s="20">
        <f t="shared" si="28"/>
        <v>-0.15200000000000102</v>
      </c>
      <c r="AK58" s="20">
        <f t="shared" si="29"/>
        <v>9.5775779819325918E-2</v>
      </c>
      <c r="AL58" s="20">
        <f t="shared" si="30"/>
        <v>9.1729999999999971E-3</v>
      </c>
      <c r="AM58" s="8">
        <v>-0.15</v>
      </c>
      <c r="AN58" s="20">
        <f t="shared" si="31"/>
        <v>4.0000000000041147E-6</v>
      </c>
      <c r="AV58" s="15" t="s">
        <v>101</v>
      </c>
      <c r="AW58" s="1" t="s">
        <v>70</v>
      </c>
      <c r="AX58" s="4" t="s">
        <v>10</v>
      </c>
      <c r="AY58" s="3" t="s">
        <v>103</v>
      </c>
      <c r="AZ58" s="1" t="s">
        <v>105</v>
      </c>
      <c r="BA58" s="20">
        <v>-5.702</v>
      </c>
      <c r="BB58" s="20">
        <v>0.24099999999999999</v>
      </c>
      <c r="BC58" s="20">
        <v>-7.9630000000000001</v>
      </c>
      <c r="BD58" s="20">
        <v>9.6000000000000002E-2</v>
      </c>
      <c r="BE58" s="20">
        <f t="shared" si="36"/>
        <v>2.2610000000000001</v>
      </c>
      <c r="BF58" s="20">
        <f t="shared" si="37"/>
        <v>0.25941665328193564</v>
      </c>
      <c r="BG58" s="20">
        <f t="shared" si="38"/>
        <v>6.729700000000001E-2</v>
      </c>
      <c r="BH58" s="8">
        <v>2.0099999999999998</v>
      </c>
      <c r="BI58" s="20">
        <f t="shared" si="39"/>
        <v>6.3001000000000168E-2</v>
      </c>
    </row>
    <row r="59" spans="10:61">
      <c r="J59" s="15" t="s">
        <v>45</v>
      </c>
      <c r="K59" s="15" t="s">
        <v>46</v>
      </c>
      <c r="L59" s="3" t="s">
        <v>17</v>
      </c>
      <c r="M59" s="3" t="s">
        <v>52</v>
      </c>
      <c r="N59" s="1" t="s">
        <v>61</v>
      </c>
      <c r="O59" s="20">
        <v>70.745000000000005</v>
      </c>
      <c r="P59" s="20">
        <v>0.434</v>
      </c>
      <c r="Q59" s="20">
        <v>70.069999999999993</v>
      </c>
      <c r="R59" s="20">
        <v>0.04</v>
      </c>
      <c r="S59" s="20">
        <f t="shared" si="32"/>
        <v>0.67500000000001137</v>
      </c>
      <c r="T59" s="20">
        <f t="shared" si="33"/>
        <v>0.43583941997024545</v>
      </c>
      <c r="U59" s="20">
        <f t="shared" si="34"/>
        <v>0.18995599999999999</v>
      </c>
      <c r="V59" s="8">
        <v>1.76</v>
      </c>
      <c r="W59" s="20">
        <f t="shared" si="35"/>
        <v>1.1772249999999753</v>
      </c>
      <c r="AA59" s="15" t="s">
        <v>101</v>
      </c>
      <c r="AB59" s="1" t="s">
        <v>70</v>
      </c>
      <c r="AC59" s="6" t="s">
        <v>10</v>
      </c>
      <c r="AD59" s="3" t="s">
        <v>103</v>
      </c>
      <c r="AE59" s="1" t="s">
        <v>105</v>
      </c>
      <c r="AF59" s="20">
        <v>-5.702</v>
      </c>
      <c r="AG59" s="20">
        <v>0.24099999999999999</v>
      </c>
      <c r="AH59" s="20">
        <v>-7.9630000000000001</v>
      </c>
      <c r="AI59" s="20">
        <v>9.6000000000000002E-2</v>
      </c>
      <c r="AJ59" s="20">
        <f t="shared" si="28"/>
        <v>2.2610000000000001</v>
      </c>
      <c r="AK59" s="20">
        <f t="shared" si="29"/>
        <v>0.25941665328193564</v>
      </c>
      <c r="AL59" s="20">
        <f t="shared" si="30"/>
        <v>6.729700000000001E-2</v>
      </c>
      <c r="AM59" s="8">
        <v>2.0099999999999998</v>
      </c>
      <c r="AN59" s="20">
        <f t="shared" si="31"/>
        <v>6.3001000000000168E-2</v>
      </c>
      <c r="AV59" s="15" t="s">
        <v>101</v>
      </c>
      <c r="AW59" s="1" t="s">
        <v>70</v>
      </c>
      <c r="AX59" s="3" t="s">
        <v>12</v>
      </c>
      <c r="AY59" s="3" t="s">
        <v>104</v>
      </c>
      <c r="AZ59" s="1" t="s">
        <v>106</v>
      </c>
      <c r="BA59" s="20">
        <v>-23.943000000000001</v>
      </c>
      <c r="BB59" s="20">
        <v>0.187</v>
      </c>
      <c r="BC59" s="20">
        <v>-24.111000000000001</v>
      </c>
      <c r="BD59" s="20">
        <v>0.11600000000000001</v>
      </c>
      <c r="BE59" s="20">
        <f t="shared" si="36"/>
        <v>0.16799999999999926</v>
      </c>
      <c r="BF59" s="20">
        <f t="shared" si="37"/>
        <v>0.22005681084665388</v>
      </c>
      <c r="BG59" s="20">
        <f t="shared" si="38"/>
        <v>4.8425000000000003E-2</v>
      </c>
      <c r="BH59" s="8">
        <v>0.85</v>
      </c>
      <c r="BI59" s="20">
        <f t="shared" si="39"/>
        <v>0.46512400000000098</v>
      </c>
    </row>
    <row r="60" spans="10:61">
      <c r="J60" s="15" t="s">
        <v>45</v>
      </c>
      <c r="K60" s="15" t="s">
        <v>46</v>
      </c>
      <c r="L60" s="3" t="s">
        <v>20</v>
      </c>
      <c r="M60" s="3" t="s">
        <v>53</v>
      </c>
      <c r="N60" s="1" t="s">
        <v>62</v>
      </c>
      <c r="O60" s="20">
        <v>46.478000000000002</v>
      </c>
      <c r="P60" s="20">
        <v>0.28399999999999997</v>
      </c>
      <c r="Q60" s="20">
        <v>46.073999999999998</v>
      </c>
      <c r="R60" s="20">
        <v>0.06</v>
      </c>
      <c r="S60" s="20">
        <f t="shared" si="32"/>
        <v>0.40400000000000347</v>
      </c>
      <c r="T60" s="20">
        <f t="shared" si="33"/>
        <v>0.29026884090442778</v>
      </c>
      <c r="U60" s="20">
        <f t="shared" si="34"/>
        <v>8.4256000000000011E-2</v>
      </c>
      <c r="V60" s="8">
        <v>-0.35</v>
      </c>
      <c r="W60" s="20">
        <f t="shared" si="35"/>
        <v>0.56851600000000524</v>
      </c>
      <c r="AA60" s="15" t="s">
        <v>82</v>
      </c>
      <c r="AB60" s="1" t="s">
        <v>70</v>
      </c>
      <c r="AC60" s="3" t="s">
        <v>12</v>
      </c>
      <c r="AD60" s="3" t="s">
        <v>104</v>
      </c>
      <c r="AE60" s="1" t="s">
        <v>106</v>
      </c>
      <c r="AF60" s="20">
        <v>-23.72</v>
      </c>
      <c r="AG60" s="20">
        <v>0.11700000000000001</v>
      </c>
      <c r="AH60" s="20">
        <v>-23.588999999999999</v>
      </c>
      <c r="AI60" s="20">
        <v>0.14099999999999999</v>
      </c>
      <c r="AJ60" s="20">
        <f t="shared" si="28"/>
        <v>-0.13100000000000023</v>
      </c>
      <c r="AK60" s="20">
        <f t="shared" si="29"/>
        <v>0.18322117781522965</v>
      </c>
      <c r="AL60" s="20">
        <f t="shared" si="30"/>
        <v>3.3570000000000003E-2</v>
      </c>
      <c r="AM60" s="8">
        <v>0.85</v>
      </c>
      <c r="AN60" s="20">
        <f t="shared" si="31"/>
        <v>0.96236100000000036</v>
      </c>
      <c r="AV60" s="15" t="s">
        <v>101</v>
      </c>
      <c r="AW60" s="1" t="s">
        <v>70</v>
      </c>
      <c r="AX60" s="3" t="s">
        <v>14</v>
      </c>
      <c r="AY60" s="3" t="s">
        <v>74</v>
      </c>
      <c r="AZ60" s="1" t="s">
        <v>78</v>
      </c>
      <c r="BA60" s="20">
        <v>-10.510999999999999</v>
      </c>
      <c r="BB60" s="20">
        <v>0.13900000000000001</v>
      </c>
      <c r="BC60" s="20">
        <v>-10.164</v>
      </c>
      <c r="BD60" s="20">
        <v>0.04</v>
      </c>
      <c r="BE60" s="20">
        <f t="shared" si="36"/>
        <v>-0.34699999999999953</v>
      </c>
      <c r="BF60" s="20">
        <f t="shared" si="37"/>
        <v>0.14464093473149295</v>
      </c>
      <c r="BG60" s="20">
        <f t="shared" si="38"/>
        <v>2.0921000000000002E-2</v>
      </c>
      <c r="BH60" s="8">
        <v>-0.78</v>
      </c>
      <c r="BI60" s="20">
        <f t="shared" si="39"/>
        <v>0.18748900000000043</v>
      </c>
    </row>
    <row r="61" spans="10:61">
      <c r="J61" s="15" t="s">
        <v>45</v>
      </c>
      <c r="K61" s="15" t="s">
        <v>46</v>
      </c>
      <c r="L61" s="3" t="s">
        <v>22</v>
      </c>
      <c r="M61" s="3" t="s">
        <v>54</v>
      </c>
      <c r="N61" s="1" t="s">
        <v>63</v>
      </c>
      <c r="O61" s="20">
        <v>-2.585</v>
      </c>
      <c r="P61" s="20">
        <v>0.11799999999999999</v>
      </c>
      <c r="Q61" s="20">
        <v>-2.673</v>
      </c>
      <c r="R61" s="20">
        <v>0.21</v>
      </c>
      <c r="S61" s="20">
        <f t="shared" si="32"/>
        <v>8.8000000000000078E-2</v>
      </c>
      <c r="T61" s="20">
        <f t="shared" si="33"/>
        <v>0.24088171371027731</v>
      </c>
      <c r="U61" s="20">
        <f t="shared" si="34"/>
        <v>5.8023999999999999E-2</v>
      </c>
      <c r="V61" s="8">
        <v>0.52</v>
      </c>
      <c r="W61" s="20">
        <f t="shared" si="35"/>
        <v>0.18662399999999996</v>
      </c>
      <c r="AA61" s="15" t="s">
        <v>82</v>
      </c>
      <c r="AB61" s="1" t="s">
        <v>70</v>
      </c>
      <c r="AC61" s="3" t="s">
        <v>14</v>
      </c>
      <c r="AD61" s="3" t="s">
        <v>74</v>
      </c>
      <c r="AE61" s="1" t="s">
        <v>78</v>
      </c>
      <c r="AF61" s="20">
        <v>-11.115</v>
      </c>
      <c r="AG61" s="20">
        <v>0.28299999999999997</v>
      </c>
      <c r="AH61" s="20">
        <v>-10.105</v>
      </c>
      <c r="AI61" s="20">
        <v>0.123</v>
      </c>
      <c r="AJ61" s="20">
        <f t="shared" si="28"/>
        <v>-1.0099999999999998</v>
      </c>
      <c r="AK61" s="20">
        <f t="shared" si="29"/>
        <v>0.30857414019972573</v>
      </c>
      <c r="AL61" s="20">
        <f t="shared" si="30"/>
        <v>9.5217999999999997E-2</v>
      </c>
      <c r="AM61" s="8">
        <v>-0.78</v>
      </c>
      <c r="AN61" s="20">
        <f t="shared" si="31"/>
        <v>5.2899999999999892E-2</v>
      </c>
      <c r="BG61" s="18" t="s">
        <v>67</v>
      </c>
      <c r="BH61" s="18"/>
      <c r="BI61" s="18" t="s">
        <v>67</v>
      </c>
    </row>
    <row r="62" spans="10:61">
      <c r="J62" s="15" t="s">
        <v>45</v>
      </c>
      <c r="K62" s="15" t="s">
        <v>46</v>
      </c>
      <c r="L62" s="3" t="s">
        <v>23</v>
      </c>
      <c r="M62" s="3" t="s">
        <v>55</v>
      </c>
      <c r="N62" s="1" t="s">
        <v>64</v>
      </c>
      <c r="O62" s="20">
        <v>-4.8170000000000002</v>
      </c>
      <c r="P62" s="20">
        <v>0.20200000000000001</v>
      </c>
      <c r="Q62" s="20">
        <v>-5.0739999999999998</v>
      </c>
      <c r="R62" s="20">
        <v>7.3999999999999996E-2</v>
      </c>
      <c r="S62" s="20">
        <f t="shared" si="32"/>
        <v>0.25699999999999967</v>
      </c>
      <c r="T62" s="20">
        <f t="shared" si="33"/>
        <v>0.21512786895239772</v>
      </c>
      <c r="U62" s="20">
        <f t="shared" si="34"/>
        <v>4.6280000000000009E-2</v>
      </c>
      <c r="V62" s="8">
        <v>1.08</v>
      </c>
      <c r="W62" s="20">
        <f t="shared" si="35"/>
        <v>0.67732900000000063</v>
      </c>
      <c r="AL62" s="18" t="s">
        <v>67</v>
      </c>
      <c r="AM62" s="18"/>
      <c r="AN62" s="18" t="s">
        <v>67</v>
      </c>
      <c r="BG62" s="20">
        <f>SUM(BG39:BG60)</f>
        <v>1.3919569994546819</v>
      </c>
      <c r="BI62" s="20">
        <f>SUM(BI39:BI60)</f>
        <v>25.813570999999925</v>
      </c>
    </row>
    <row r="63" spans="10:61">
      <c r="J63" s="15" t="s">
        <v>45</v>
      </c>
      <c r="K63" s="15" t="s">
        <v>46</v>
      </c>
      <c r="L63" s="8" t="s">
        <v>27</v>
      </c>
      <c r="M63" s="9" t="s">
        <v>28</v>
      </c>
      <c r="N63" s="1" t="s">
        <v>65</v>
      </c>
      <c r="O63" s="20">
        <v>-8.2720000000000002</v>
      </c>
      <c r="P63" s="20">
        <v>0.20599999999999999</v>
      </c>
      <c r="Q63" s="20">
        <v>-8.3350000000000009</v>
      </c>
      <c r="R63" s="20">
        <v>0.154</v>
      </c>
      <c r="S63" s="20">
        <f t="shared" si="32"/>
        <v>6.3000000000000611E-2</v>
      </c>
      <c r="T63" s="20">
        <f t="shared" si="33"/>
        <v>0.25720031104180258</v>
      </c>
      <c r="U63" s="20">
        <f t="shared" si="34"/>
        <v>6.6151999999999989E-2</v>
      </c>
      <c r="V63" s="9">
        <v>-0.21</v>
      </c>
      <c r="W63" s="20">
        <f t="shared" si="35"/>
        <v>7.4529000000000317E-2</v>
      </c>
      <c r="AL63" s="20">
        <f>SUM(AL40:AL61)</f>
        <v>1.7396469997142547</v>
      </c>
      <c r="AN63" s="20">
        <f>SUM(AN40:AN61)</f>
        <v>27.720603000000001</v>
      </c>
    </row>
    <row r="64" spans="10:61">
      <c r="J64" s="15" t="s">
        <v>45</v>
      </c>
      <c r="K64" s="1" t="s">
        <v>70</v>
      </c>
      <c r="L64" s="3" t="s">
        <v>4</v>
      </c>
      <c r="M64" s="3" t="s">
        <v>71</v>
      </c>
      <c r="N64" s="1" t="s">
        <v>75</v>
      </c>
      <c r="O64" s="20">
        <v>46.744999999999997</v>
      </c>
      <c r="P64" s="20">
        <v>0.20499999999999999</v>
      </c>
      <c r="Q64" s="20">
        <v>46.756</v>
      </c>
      <c r="R64" s="20">
        <v>0.157</v>
      </c>
      <c r="S64" s="20">
        <f>O64-Q64</f>
        <v>-1.1000000000002785E-2</v>
      </c>
      <c r="T64" s="20">
        <f>SQRT((P64)^2 + (R64)^2)</f>
        <v>0.25821309029559286</v>
      </c>
      <c r="U64" s="20">
        <f>T64^2</f>
        <v>6.6673999999999997E-2</v>
      </c>
      <c r="V64" s="8">
        <v>-0.24</v>
      </c>
      <c r="W64" s="20">
        <f>(S64-V64)^2</f>
        <v>5.2440999999998718E-2</v>
      </c>
      <c r="BH64" s="19" t="s">
        <v>68</v>
      </c>
      <c r="BI64" s="20">
        <f>SQRT(BI62/22)</f>
        <v>1.0832101072108</v>
      </c>
    </row>
    <row r="65" spans="10:61">
      <c r="J65" s="15" t="s">
        <v>45</v>
      </c>
      <c r="K65" s="1" t="s">
        <v>70</v>
      </c>
      <c r="L65" s="3" t="s">
        <v>14</v>
      </c>
      <c r="M65" s="3" t="s">
        <v>74</v>
      </c>
      <c r="N65" s="1" t="s">
        <v>78</v>
      </c>
      <c r="O65" s="20">
        <v>-11.339</v>
      </c>
      <c r="P65" s="20">
        <v>0.28199999999999997</v>
      </c>
      <c r="Q65" s="20">
        <v>-10.26</v>
      </c>
      <c r="R65" s="20">
        <v>0.121</v>
      </c>
      <c r="S65" s="20">
        <f>O65-Q65</f>
        <v>-1.0790000000000006</v>
      </c>
      <c r="T65" s="20">
        <f>SQRT((P65)^2 + (R65)^2)</f>
        <v>0.30686316168611699</v>
      </c>
      <c r="U65" s="20">
        <f>T65^2</f>
        <v>9.4164999999999985E-2</v>
      </c>
      <c r="V65" s="8">
        <v>-0.78</v>
      </c>
      <c r="W65" s="20">
        <f>(S65-V65)^2</f>
        <v>8.9401000000000355E-2</v>
      </c>
      <c r="AM65" s="19" t="s">
        <v>68</v>
      </c>
      <c r="AN65" s="20">
        <f>SQRT(AN63/22)</f>
        <v>1.122509424945247</v>
      </c>
      <c r="BH65" s="19" t="s">
        <v>40</v>
      </c>
      <c r="BI65" s="20">
        <f>SQRT(BG62/22)</f>
        <v>0.25153682176271042</v>
      </c>
    </row>
    <row r="66" spans="10:61">
      <c r="O66" s="20"/>
      <c r="P66" s="20"/>
      <c r="Q66" s="20"/>
      <c r="R66" s="20"/>
      <c r="S66" s="20"/>
      <c r="T66" s="20"/>
      <c r="U66" s="18" t="s">
        <v>67</v>
      </c>
      <c r="V66" s="18"/>
      <c r="W66" s="18" t="s">
        <v>67</v>
      </c>
      <c r="AM66" s="19" t="s">
        <v>40</v>
      </c>
      <c r="AN66" s="20">
        <f>SQRT(AL63/22)</f>
        <v>0.28120253132462236</v>
      </c>
    </row>
    <row r="67" spans="10:61">
      <c r="O67" s="20"/>
      <c r="P67" s="20"/>
      <c r="Q67" s="20"/>
      <c r="R67" s="20"/>
      <c r="S67" s="20"/>
      <c r="T67" s="20"/>
      <c r="U67" s="20">
        <f>SUM(U54:U65)</f>
        <v>1.0419929999999999</v>
      </c>
      <c r="V67" s="20"/>
      <c r="W67" s="20">
        <f>SUM(W54:W65)</f>
        <v>4.9679859999999803</v>
      </c>
    </row>
    <row r="68" spans="10:61" ht="17">
      <c r="O68" s="20"/>
      <c r="P68" s="20"/>
      <c r="Q68" s="20"/>
      <c r="R68" s="20"/>
      <c r="S68" s="20"/>
      <c r="T68" s="20"/>
      <c r="U68" s="20"/>
      <c r="V68" s="20"/>
      <c r="W68" s="20"/>
      <c r="AA68" s="10" t="s">
        <v>110</v>
      </c>
      <c r="AF68" s="20"/>
      <c r="AG68" s="20"/>
      <c r="AH68" s="20"/>
      <c r="AI68" s="20"/>
      <c r="AJ68" s="20"/>
      <c r="AK68" s="20"/>
      <c r="AL68" s="20"/>
      <c r="AM68" s="20"/>
      <c r="AN68" s="20"/>
      <c r="AV68" s="10" t="s">
        <v>114</v>
      </c>
      <c r="AW68" s="11"/>
      <c r="AX68" s="11"/>
      <c r="AY68" s="11"/>
      <c r="AZ68" s="11"/>
      <c r="BA68" s="11"/>
      <c r="BB68" s="11"/>
      <c r="BC68" s="11"/>
      <c r="BD68" s="11"/>
      <c r="BE68" s="11"/>
      <c r="BF68" s="11"/>
      <c r="BG68" s="11"/>
      <c r="BH68" s="11"/>
      <c r="BI68" s="11"/>
    </row>
    <row r="69" spans="10:61">
      <c r="O69" s="20"/>
      <c r="P69" s="20"/>
      <c r="Q69" s="20"/>
      <c r="R69" s="20"/>
      <c r="S69" s="20"/>
      <c r="T69" s="20"/>
      <c r="U69" s="20"/>
      <c r="V69" s="19" t="s">
        <v>68</v>
      </c>
      <c r="W69" s="20">
        <f>SQRT(W67/12)</f>
        <v>0.64342741108327961</v>
      </c>
      <c r="AA69" s="12" t="s">
        <v>30</v>
      </c>
      <c r="AB69" s="12" t="s">
        <v>31</v>
      </c>
      <c r="AC69" s="13" t="s">
        <v>32</v>
      </c>
      <c r="AD69" s="12" t="s">
        <v>33</v>
      </c>
      <c r="AE69" s="12" t="s">
        <v>34</v>
      </c>
      <c r="AF69" s="12" t="s">
        <v>35</v>
      </c>
      <c r="AG69" s="12" t="s">
        <v>36</v>
      </c>
      <c r="AH69" s="12" t="s">
        <v>37</v>
      </c>
      <c r="AI69" s="12" t="s">
        <v>38</v>
      </c>
      <c r="AJ69" s="12" t="s">
        <v>39</v>
      </c>
      <c r="AK69" s="14" t="s">
        <v>40</v>
      </c>
      <c r="AL69" s="12" t="s">
        <v>41</v>
      </c>
      <c r="AM69" s="12" t="s">
        <v>42</v>
      </c>
      <c r="AN69" s="12" t="s">
        <v>43</v>
      </c>
      <c r="AV69" s="12" t="s">
        <v>30</v>
      </c>
      <c r="AW69" s="12" t="s">
        <v>31</v>
      </c>
      <c r="AX69" s="13" t="s">
        <v>32</v>
      </c>
      <c r="AY69" s="12" t="s">
        <v>33</v>
      </c>
      <c r="AZ69" s="12" t="s">
        <v>34</v>
      </c>
      <c r="BA69" s="12" t="s">
        <v>35</v>
      </c>
      <c r="BB69" s="12" t="s">
        <v>36</v>
      </c>
      <c r="BC69" s="12" t="s">
        <v>37</v>
      </c>
      <c r="BD69" s="12" t="s">
        <v>38</v>
      </c>
      <c r="BE69" s="12" t="s">
        <v>39</v>
      </c>
      <c r="BF69" s="14" t="s">
        <v>40</v>
      </c>
      <c r="BG69" s="12" t="s">
        <v>41</v>
      </c>
      <c r="BH69" s="12" t="s">
        <v>42</v>
      </c>
      <c r="BI69" s="12" t="s">
        <v>43</v>
      </c>
    </row>
    <row r="70" spans="10:61">
      <c r="O70" s="20"/>
      <c r="P70" s="20"/>
      <c r="Q70" s="20"/>
      <c r="R70" s="20"/>
      <c r="S70" s="20"/>
      <c r="T70" s="20"/>
      <c r="U70" s="20"/>
      <c r="V70" s="19" t="s">
        <v>40</v>
      </c>
      <c r="W70" s="20">
        <f>SQRT(U67/12)</f>
        <v>0.29467397238303894</v>
      </c>
      <c r="AA70" s="15" t="s">
        <v>82</v>
      </c>
      <c r="AB70" s="15" t="s">
        <v>46</v>
      </c>
      <c r="AC70" s="3" t="s">
        <v>5</v>
      </c>
      <c r="AD70" s="3" t="s">
        <v>47</v>
      </c>
      <c r="AE70" s="1" t="s">
        <v>56</v>
      </c>
      <c r="AF70" s="20">
        <v>-12.409000000000001</v>
      </c>
      <c r="AG70" s="20">
        <v>0.20899999999999999</v>
      </c>
      <c r="AH70" s="20">
        <v>-13.032999999999999</v>
      </c>
      <c r="AI70" s="20">
        <v>0.20200000000000001</v>
      </c>
      <c r="AJ70" s="20">
        <f>AF70-AH70</f>
        <v>0.62399999999999878</v>
      </c>
      <c r="AK70" s="20">
        <f>SQRT((AG70)^2 + (AI70)^2)</f>
        <v>0.29066303514551006</v>
      </c>
      <c r="AL70" s="20">
        <f>AK70^2</f>
        <v>8.4485000000000018E-2</v>
      </c>
      <c r="AM70" s="8">
        <v>-0.01</v>
      </c>
      <c r="AN70" s="20">
        <f>(AJ70-AM70)^2</f>
        <v>0.40195599999999848</v>
      </c>
      <c r="AV70" s="15" t="s">
        <v>101</v>
      </c>
      <c r="AW70" s="15" t="s">
        <v>46</v>
      </c>
      <c r="AX70" s="3" t="s">
        <v>5</v>
      </c>
      <c r="AY70" s="3" t="s">
        <v>47</v>
      </c>
      <c r="AZ70" s="1" t="s">
        <v>56</v>
      </c>
      <c r="BA70" s="20">
        <v>-12.769</v>
      </c>
      <c r="BB70" s="20">
        <v>0.187</v>
      </c>
      <c r="BC70" s="20">
        <v>-13.163</v>
      </c>
      <c r="BD70" s="20">
        <v>7.9000000000000001E-2</v>
      </c>
      <c r="BE70" s="20">
        <f>BA70-BC70</f>
        <v>0.39400000000000013</v>
      </c>
      <c r="BF70" s="20">
        <f>SQRT((BB70)^2 + (BD70)^2)</f>
        <v>0.20300246303924491</v>
      </c>
      <c r="BG70" s="20">
        <f>BF70^2</f>
        <v>4.1209999999999997E-2</v>
      </c>
      <c r="BH70" s="8">
        <v>-0.01</v>
      </c>
      <c r="BI70" s="20">
        <f>(BE70-BH70)^2</f>
        <v>0.16321600000000011</v>
      </c>
    </row>
    <row r="71" spans="10:61">
      <c r="O71" s="20"/>
      <c r="P71" s="20"/>
      <c r="Q71" s="20"/>
      <c r="R71" s="20"/>
      <c r="S71" s="20"/>
      <c r="T71" s="20"/>
      <c r="U71" s="20"/>
      <c r="V71" s="20"/>
      <c r="W71" s="20"/>
      <c r="AA71" s="15" t="s">
        <v>82</v>
      </c>
      <c r="AB71" s="15" t="s">
        <v>46</v>
      </c>
      <c r="AC71" s="3" t="s">
        <v>7</v>
      </c>
      <c r="AD71" s="3" t="s">
        <v>48</v>
      </c>
      <c r="AE71" s="1" t="s">
        <v>57</v>
      </c>
      <c r="AF71" s="20">
        <v>11.23</v>
      </c>
      <c r="AG71" s="20">
        <v>0.182</v>
      </c>
      <c r="AH71" s="20">
        <v>11.393000000000001</v>
      </c>
      <c r="AI71" s="20">
        <v>9.1999999999999998E-2</v>
      </c>
      <c r="AJ71" s="20">
        <f t="shared" ref="AJ71:AJ87" si="40">AF71-AH71</f>
        <v>-0.16300000000000026</v>
      </c>
      <c r="AK71" s="20">
        <f t="shared" ref="AK71:AK87" si="41">SQRT((AG71)^2 + (AI71)^2)</f>
        <v>0.20393136100168605</v>
      </c>
      <c r="AL71" s="20">
        <f t="shared" ref="AL71:AL87" si="42">AK71^2</f>
        <v>4.1587999999999993E-2</v>
      </c>
      <c r="AM71" s="8">
        <v>0.7</v>
      </c>
      <c r="AN71" s="20">
        <f t="shared" ref="AN71:AN87" si="43">(AJ71-AM71)^2</f>
        <v>0.74476900000000035</v>
      </c>
      <c r="AV71" s="15" t="s">
        <v>101</v>
      </c>
      <c r="AW71" s="15" t="s">
        <v>46</v>
      </c>
      <c r="AX71" s="3" t="s">
        <v>7</v>
      </c>
      <c r="AY71" s="3" t="s">
        <v>48</v>
      </c>
      <c r="AZ71" s="1" t="s">
        <v>57</v>
      </c>
      <c r="BA71" s="20">
        <v>11.429</v>
      </c>
      <c r="BB71" s="20">
        <v>0.17699999999999999</v>
      </c>
      <c r="BC71" s="20">
        <v>10.743</v>
      </c>
      <c r="BD71" s="20">
        <v>0.13600000000000001</v>
      </c>
      <c r="BE71" s="20">
        <f t="shared" ref="BE71:BE82" si="44">BA71-BC71</f>
        <v>0.68599999999999994</v>
      </c>
      <c r="BF71" s="20">
        <f t="shared" ref="BF71:BF82" si="45">SQRT((BB71)^2 + (BD71)^2)</f>
        <v>0.22321514285549712</v>
      </c>
      <c r="BG71" s="20">
        <f t="shared" ref="BG71:BG82" si="46">BF71^2</f>
        <v>4.9824999999999987E-2</v>
      </c>
      <c r="BH71" s="8">
        <v>0.7</v>
      </c>
      <c r="BI71" s="20">
        <f t="shared" ref="BI71:BI82" si="47">(BE71-BH71)^2</f>
        <v>1.9600000000000035E-4</v>
      </c>
    </row>
    <row r="72" spans="10:61">
      <c r="O72" s="20"/>
      <c r="P72" s="20"/>
      <c r="Q72" s="20"/>
      <c r="R72" s="20"/>
      <c r="S72" s="20"/>
      <c r="T72" s="20"/>
      <c r="U72" s="20"/>
      <c r="V72" s="20"/>
      <c r="W72" s="20"/>
      <c r="AA72" s="15" t="s">
        <v>82</v>
      </c>
      <c r="AB72" s="15" t="s">
        <v>46</v>
      </c>
      <c r="AC72" s="3" t="s">
        <v>9</v>
      </c>
      <c r="AD72" s="3" t="s">
        <v>83</v>
      </c>
      <c r="AE72" s="1" t="s">
        <v>89</v>
      </c>
      <c r="AF72" s="20">
        <v>-33.622</v>
      </c>
      <c r="AG72" s="20">
        <v>0.41399999999999998</v>
      </c>
      <c r="AH72" s="20">
        <v>-37.578000000000003</v>
      </c>
      <c r="AI72" s="20">
        <v>0.16800000000000001</v>
      </c>
      <c r="AJ72" s="20">
        <f t="shared" si="40"/>
        <v>3.9560000000000031</v>
      </c>
      <c r="AK72" s="20">
        <f t="shared" si="41"/>
        <v>0.44678854058715517</v>
      </c>
      <c r="AL72" s="20">
        <f t="shared" si="42"/>
        <v>0.19961999999999999</v>
      </c>
      <c r="AM72" s="8">
        <v>1.19</v>
      </c>
      <c r="AN72" s="20">
        <f t="shared" si="43"/>
        <v>7.6507560000000172</v>
      </c>
      <c r="AV72" s="15" t="s">
        <v>101</v>
      </c>
      <c r="AW72" s="15" t="s">
        <v>46</v>
      </c>
      <c r="AX72" s="3" t="s">
        <v>9</v>
      </c>
      <c r="AY72" s="3" t="s">
        <v>83</v>
      </c>
      <c r="AZ72" s="1" t="s">
        <v>89</v>
      </c>
      <c r="BA72" s="20">
        <v>-33.622</v>
      </c>
      <c r="BB72" s="20">
        <v>0.41399999999999998</v>
      </c>
      <c r="BC72" s="20">
        <v>-37.578000000000003</v>
      </c>
      <c r="BD72" s="20">
        <v>0.16800000000000001</v>
      </c>
      <c r="BE72" s="20">
        <f t="shared" si="44"/>
        <v>3.9560000000000031</v>
      </c>
      <c r="BF72" s="20">
        <f t="shared" si="45"/>
        <v>0.44678854058715517</v>
      </c>
      <c r="BG72" s="20">
        <f t="shared" si="46"/>
        <v>0.19961999999999999</v>
      </c>
      <c r="BH72" s="8">
        <v>1.19</v>
      </c>
      <c r="BI72" s="20">
        <f t="shared" si="47"/>
        <v>7.6507560000000172</v>
      </c>
    </row>
    <row r="73" spans="10:61">
      <c r="O73" s="20"/>
      <c r="P73" s="20"/>
      <c r="Q73" s="20"/>
      <c r="R73" s="20"/>
      <c r="S73" s="20"/>
      <c r="T73" s="20"/>
      <c r="U73" s="20"/>
      <c r="V73" s="20"/>
      <c r="W73" s="20"/>
      <c r="AA73" s="15" t="s">
        <v>101</v>
      </c>
      <c r="AB73" s="15" t="s">
        <v>46</v>
      </c>
      <c r="AC73" s="3" t="s">
        <v>11</v>
      </c>
      <c r="AD73" s="3" t="s">
        <v>84</v>
      </c>
      <c r="AE73" s="1" t="s">
        <v>90</v>
      </c>
      <c r="AF73" s="20">
        <v>-40.414999999999999</v>
      </c>
      <c r="AG73" s="20">
        <v>0.307</v>
      </c>
      <c r="AH73" s="20">
        <v>-41.499000000000002</v>
      </c>
      <c r="AI73" s="20">
        <v>0.23400000000000001</v>
      </c>
      <c r="AJ73" s="20">
        <f t="shared" si="40"/>
        <v>1.0840000000000032</v>
      </c>
      <c r="AK73" s="20">
        <f t="shared" si="41"/>
        <v>0.3860116578550446</v>
      </c>
      <c r="AL73" s="20">
        <f t="shared" si="42"/>
        <v>0.14900500000000003</v>
      </c>
      <c r="AM73" s="8">
        <v>1.28</v>
      </c>
      <c r="AN73" s="20">
        <f t="shared" si="43"/>
        <v>3.8415999999998764E-2</v>
      </c>
      <c r="AV73" s="15" t="s">
        <v>101</v>
      </c>
      <c r="AW73" s="15" t="s">
        <v>46</v>
      </c>
      <c r="AX73" s="3" t="s">
        <v>11</v>
      </c>
      <c r="AY73" s="3" t="s">
        <v>84</v>
      </c>
      <c r="AZ73" s="1" t="s">
        <v>90</v>
      </c>
      <c r="BA73" s="20">
        <v>-40.414999999999999</v>
      </c>
      <c r="BB73" s="20">
        <v>0.307</v>
      </c>
      <c r="BC73" s="20">
        <v>-41.499000000000002</v>
      </c>
      <c r="BD73" s="20">
        <v>0.23400000000000001</v>
      </c>
      <c r="BE73" s="20">
        <f t="shared" si="44"/>
        <v>1.0840000000000032</v>
      </c>
      <c r="BF73" s="20">
        <f t="shared" si="45"/>
        <v>0.3860116578550446</v>
      </c>
      <c r="BG73" s="20">
        <f t="shared" si="46"/>
        <v>0.14900500000000003</v>
      </c>
      <c r="BH73" s="8">
        <v>1.28</v>
      </c>
      <c r="BI73" s="20">
        <f t="shared" si="47"/>
        <v>3.8415999999998764E-2</v>
      </c>
    </row>
    <row r="74" spans="10:61">
      <c r="O74" s="20"/>
      <c r="P74" s="20"/>
      <c r="Q74" s="20"/>
      <c r="R74" s="20"/>
      <c r="S74" s="20"/>
      <c r="T74" s="20"/>
      <c r="U74" s="20"/>
      <c r="V74" s="20"/>
      <c r="W74" s="20"/>
      <c r="AA74" s="15" t="s">
        <v>82</v>
      </c>
      <c r="AB74" s="15" t="s">
        <v>46</v>
      </c>
      <c r="AC74" s="3" t="s">
        <v>13</v>
      </c>
      <c r="AD74" s="3" t="s">
        <v>49</v>
      </c>
      <c r="AE74" s="1" t="s">
        <v>58</v>
      </c>
      <c r="AF74" s="20">
        <v>12.587</v>
      </c>
      <c r="AG74" s="20">
        <v>0.14499999999999999</v>
      </c>
      <c r="AH74" s="20">
        <v>11.454000000000001</v>
      </c>
      <c r="AI74" s="20">
        <v>0.09</v>
      </c>
      <c r="AJ74" s="20">
        <f t="shared" si="40"/>
        <v>1.1329999999999991</v>
      </c>
      <c r="AK74" s="20">
        <f t="shared" si="41"/>
        <v>0.1706604816587601</v>
      </c>
      <c r="AL74" s="20">
        <f t="shared" si="42"/>
        <v>2.9124999999999995E-2</v>
      </c>
      <c r="AM74" s="8">
        <v>-1.28</v>
      </c>
      <c r="AN74" s="20">
        <f t="shared" si="43"/>
        <v>5.822568999999997</v>
      </c>
      <c r="AV74" s="15" t="s">
        <v>101</v>
      </c>
      <c r="AW74" s="15" t="s">
        <v>46</v>
      </c>
      <c r="AX74" s="3" t="s">
        <v>13</v>
      </c>
      <c r="AY74" s="3" t="s">
        <v>49</v>
      </c>
      <c r="AZ74" s="1" t="s">
        <v>58</v>
      </c>
      <c r="BA74" s="20">
        <v>12.144</v>
      </c>
      <c r="BB74" s="20">
        <v>0.20499999999999999</v>
      </c>
      <c r="BC74" s="20">
        <v>11.46</v>
      </c>
      <c r="BD74" s="20">
        <v>0.08</v>
      </c>
      <c r="BE74" s="20">
        <f t="shared" si="44"/>
        <v>0.68399999999999928</v>
      </c>
      <c r="BF74" s="20">
        <f t="shared" si="45"/>
        <v>0.22005681084665385</v>
      </c>
      <c r="BG74" s="20">
        <f t="shared" si="46"/>
        <v>4.8424999999999989E-2</v>
      </c>
      <c r="BH74" s="8">
        <v>-1.28</v>
      </c>
      <c r="BI74" s="20">
        <f t="shared" si="47"/>
        <v>3.8572959999999972</v>
      </c>
    </row>
    <row r="75" spans="10:61">
      <c r="O75" s="20"/>
      <c r="P75" s="20"/>
      <c r="Q75" s="20"/>
      <c r="R75" s="20"/>
      <c r="S75" s="20"/>
      <c r="T75" s="20"/>
      <c r="U75" s="20"/>
      <c r="V75" s="20"/>
      <c r="W75" s="20"/>
      <c r="AA75" s="15" t="s">
        <v>82</v>
      </c>
      <c r="AB75" s="15" t="s">
        <v>46</v>
      </c>
      <c r="AC75" s="3" t="s">
        <v>15</v>
      </c>
      <c r="AD75" s="3" t="s">
        <v>50</v>
      </c>
      <c r="AE75" s="1" t="s">
        <v>59</v>
      </c>
      <c r="AF75" s="20">
        <v>15.212999999999999</v>
      </c>
      <c r="AG75" s="20">
        <v>0.249</v>
      </c>
      <c r="AH75" s="20">
        <v>13.407999999999999</v>
      </c>
      <c r="AI75" s="20">
        <v>7.0000000000000007E-2</v>
      </c>
      <c r="AJ75" s="20">
        <f t="shared" si="40"/>
        <v>1.8049999999999997</v>
      </c>
      <c r="AK75" s="20">
        <f t="shared" si="41"/>
        <v>0.25865227623200998</v>
      </c>
      <c r="AL75" s="20">
        <f t="shared" si="42"/>
        <v>6.6901000000000002E-2</v>
      </c>
      <c r="AM75" s="8">
        <v>1.26</v>
      </c>
      <c r="AN75" s="20">
        <f t="shared" si="43"/>
        <v>0.29702499999999971</v>
      </c>
      <c r="AV75" s="15" t="s">
        <v>101</v>
      </c>
      <c r="AW75" s="15" t="s">
        <v>46</v>
      </c>
      <c r="AX75" s="3" t="s">
        <v>15</v>
      </c>
      <c r="AY75" s="3" t="s">
        <v>50</v>
      </c>
      <c r="AZ75" s="1" t="s">
        <v>59</v>
      </c>
      <c r="BA75" s="20">
        <v>14.170999999999999</v>
      </c>
      <c r="BB75" s="20">
        <v>0.23200000000000001</v>
      </c>
      <c r="BC75" s="20">
        <v>13.475</v>
      </c>
      <c r="BD75" s="20">
        <v>0.1</v>
      </c>
      <c r="BE75" s="20">
        <f t="shared" si="44"/>
        <v>0.69599999999999973</v>
      </c>
      <c r="BF75" s="20">
        <f t="shared" si="45"/>
        <v>0.25263412279421005</v>
      </c>
      <c r="BG75" s="20">
        <f t="shared" si="46"/>
        <v>6.3824000000000006E-2</v>
      </c>
      <c r="BH75" s="8">
        <v>1.26</v>
      </c>
      <c r="BI75" s="20">
        <f t="shared" si="47"/>
        <v>0.31809600000000032</v>
      </c>
    </row>
    <row r="76" spans="10:61">
      <c r="O76" s="20"/>
      <c r="P76" s="20"/>
      <c r="Q76" s="20"/>
      <c r="R76" s="20"/>
      <c r="S76" s="20"/>
      <c r="T76" s="20"/>
      <c r="U76" s="20"/>
      <c r="V76" s="20"/>
      <c r="W76" s="20"/>
      <c r="AA76" s="15" t="s">
        <v>82</v>
      </c>
      <c r="AB76" s="15" t="s">
        <v>46</v>
      </c>
      <c r="AC76" s="3" t="s">
        <v>16</v>
      </c>
      <c r="AD76" s="3" t="s">
        <v>51</v>
      </c>
      <c r="AE76" s="1" t="s">
        <v>60</v>
      </c>
      <c r="AF76" s="20">
        <v>-5.4050000000000002</v>
      </c>
      <c r="AG76" s="20">
        <v>0.22500000000000001</v>
      </c>
      <c r="AH76" s="20">
        <v>-6.15</v>
      </c>
      <c r="AI76" s="20">
        <v>9.0999999999999998E-2</v>
      </c>
      <c r="AJ76" s="20">
        <f t="shared" si="40"/>
        <v>0.74500000000000011</v>
      </c>
      <c r="AK76" s="20">
        <f t="shared" si="41"/>
        <v>0.24270558296009592</v>
      </c>
      <c r="AL76" s="20">
        <f t="shared" si="42"/>
        <v>5.8906000000000007E-2</v>
      </c>
      <c r="AM76" s="8">
        <v>1.35</v>
      </c>
      <c r="AN76" s="20">
        <f t="shared" si="43"/>
        <v>0.36602499999999999</v>
      </c>
      <c r="AV76" s="15" t="s">
        <v>101</v>
      </c>
      <c r="AW76" s="15" t="s">
        <v>46</v>
      </c>
      <c r="AX76" s="3" t="s">
        <v>16</v>
      </c>
      <c r="AY76" s="3" t="s">
        <v>51</v>
      </c>
      <c r="AZ76" s="1" t="s">
        <v>60</v>
      </c>
      <c r="BA76" s="20">
        <v>-5.2069999999999999</v>
      </c>
      <c r="BB76" s="20">
        <v>0.113</v>
      </c>
      <c r="BC76" s="20">
        <v>-6.3109999999999999</v>
      </c>
      <c r="BD76" s="20">
        <v>4.8000000000000001E-2</v>
      </c>
      <c r="BE76" s="20">
        <f t="shared" si="44"/>
        <v>1.1040000000000001</v>
      </c>
      <c r="BF76" s="20">
        <f t="shared" si="45"/>
        <v>0.12277214667830812</v>
      </c>
      <c r="BG76" s="20">
        <f t="shared" si="46"/>
        <v>1.5073000000000003E-2</v>
      </c>
      <c r="BH76" s="8">
        <v>1.35</v>
      </c>
      <c r="BI76" s="20">
        <f t="shared" si="47"/>
        <v>6.0516E-2</v>
      </c>
    </row>
    <row r="77" spans="10:61">
      <c r="AA77" s="15" t="s">
        <v>82</v>
      </c>
      <c r="AB77" s="15" t="s">
        <v>46</v>
      </c>
      <c r="AC77" s="3" t="s">
        <v>17</v>
      </c>
      <c r="AD77" s="3" t="s">
        <v>52</v>
      </c>
      <c r="AE77" s="1" t="s">
        <v>61</v>
      </c>
      <c r="AF77" s="20">
        <v>69.421000000000006</v>
      </c>
      <c r="AG77" s="20">
        <v>0.41299999999999998</v>
      </c>
      <c r="AH77" s="20">
        <v>70.144000000000005</v>
      </c>
      <c r="AI77" s="20">
        <v>2.5999999999999999E-2</v>
      </c>
      <c r="AJ77" s="20">
        <f t="shared" si="40"/>
        <v>-0.72299999999999898</v>
      </c>
      <c r="AK77" s="20">
        <f t="shared" si="41"/>
        <v>0.41381759266614077</v>
      </c>
      <c r="AL77" s="20">
        <f t="shared" si="42"/>
        <v>0.17124500000000001</v>
      </c>
      <c r="AM77" s="8">
        <v>1.76</v>
      </c>
      <c r="AN77" s="20">
        <f t="shared" si="43"/>
        <v>6.1652889999999942</v>
      </c>
      <c r="AV77" s="15" t="s">
        <v>101</v>
      </c>
      <c r="AW77" s="15" t="s">
        <v>46</v>
      </c>
      <c r="AX77" s="3" t="s">
        <v>17</v>
      </c>
      <c r="AY77" s="3" t="s">
        <v>52</v>
      </c>
      <c r="AZ77" s="1" t="s">
        <v>61</v>
      </c>
      <c r="BA77" s="20">
        <v>69.168000000000006</v>
      </c>
      <c r="BB77" s="20">
        <v>0.27700000000000002</v>
      </c>
      <c r="BC77" s="20">
        <v>70.206999999999994</v>
      </c>
      <c r="BD77" s="20">
        <v>2.9000000000000001E-2</v>
      </c>
      <c r="BE77" s="20">
        <f t="shared" si="44"/>
        <v>-1.0389999999999873</v>
      </c>
      <c r="BF77" s="20">
        <f t="shared" si="45"/>
        <v>0.27851391347650839</v>
      </c>
      <c r="BG77" s="20">
        <f t="shared" si="46"/>
        <v>7.757E-2</v>
      </c>
      <c r="BH77" s="8">
        <v>1.76</v>
      </c>
      <c r="BI77" s="20">
        <f t="shared" si="47"/>
        <v>7.8344009999999278</v>
      </c>
    </row>
    <row r="78" spans="10:61">
      <c r="AA78" s="15" t="s">
        <v>82</v>
      </c>
      <c r="AB78" s="15" t="s">
        <v>46</v>
      </c>
      <c r="AC78" s="3" t="s">
        <v>18</v>
      </c>
      <c r="AD78" s="3" t="s">
        <v>85</v>
      </c>
      <c r="AE78" s="1" t="s">
        <v>91</v>
      </c>
      <c r="AF78" s="20">
        <v>-6.8070000000000004</v>
      </c>
      <c r="AG78" s="20">
        <v>0.33900000000000002</v>
      </c>
      <c r="AH78" s="20">
        <v>-6.8540000000000001</v>
      </c>
      <c r="AI78" s="20">
        <v>0.27700000000000002</v>
      </c>
      <c r="AJ78" s="20">
        <f t="shared" si="40"/>
        <v>4.6999999999999709E-2</v>
      </c>
      <c r="AK78" s="20">
        <f t="shared" si="41"/>
        <v>0.4377784827969507</v>
      </c>
      <c r="AL78" s="20">
        <f t="shared" si="42"/>
        <v>0.19165000000000007</v>
      </c>
      <c r="AM78" s="8">
        <v>0.54</v>
      </c>
      <c r="AN78" s="20">
        <f t="shared" si="43"/>
        <v>0.24304900000000032</v>
      </c>
      <c r="AV78" s="15" t="s">
        <v>101</v>
      </c>
      <c r="AW78" s="15" t="s">
        <v>46</v>
      </c>
      <c r="AX78" s="3" t="s">
        <v>18</v>
      </c>
      <c r="AY78" s="3" t="s">
        <v>85</v>
      </c>
      <c r="AZ78" s="1" t="s">
        <v>91</v>
      </c>
      <c r="BA78" s="20">
        <v>-5.6740000000000004</v>
      </c>
      <c r="BB78" s="20">
        <v>0.216</v>
      </c>
      <c r="BC78" s="20">
        <v>-7.0250000000000004</v>
      </c>
      <c r="BD78" s="20">
        <v>0.20300000000000001</v>
      </c>
      <c r="BE78" s="20">
        <f t="shared" si="44"/>
        <v>1.351</v>
      </c>
      <c r="BF78" s="20">
        <f t="shared" si="45"/>
        <v>0.29642030969554028</v>
      </c>
      <c r="BG78" s="20">
        <f t="shared" si="46"/>
        <v>8.7865000000000013E-2</v>
      </c>
      <c r="BH78" s="8">
        <v>0.54</v>
      </c>
      <c r="BI78" s="20">
        <f t="shared" si="47"/>
        <v>0.65772099999999989</v>
      </c>
    </row>
    <row r="79" spans="10:61">
      <c r="AA79" s="15" t="s">
        <v>82</v>
      </c>
      <c r="AB79" s="15" t="s">
        <v>46</v>
      </c>
      <c r="AC79" s="3" t="s">
        <v>20</v>
      </c>
      <c r="AD79" s="3" t="s">
        <v>53</v>
      </c>
      <c r="AE79" s="1" t="s">
        <v>62</v>
      </c>
      <c r="AF79" s="20">
        <v>46.38</v>
      </c>
      <c r="AG79" s="20">
        <v>0.126</v>
      </c>
      <c r="AH79" s="20">
        <v>45.868000000000002</v>
      </c>
      <c r="AI79" s="20">
        <v>0.08</v>
      </c>
      <c r="AJ79" s="20">
        <f t="shared" si="40"/>
        <v>0.51200000000000045</v>
      </c>
      <c r="AK79" s="20">
        <f t="shared" si="41"/>
        <v>0.14925146565444508</v>
      </c>
      <c r="AL79" s="20">
        <f t="shared" si="42"/>
        <v>2.2276000000000001E-2</v>
      </c>
      <c r="AM79" s="8">
        <v>-0.35</v>
      </c>
      <c r="AN79" s="20">
        <f t="shared" si="43"/>
        <v>0.7430440000000007</v>
      </c>
      <c r="AV79" s="15" t="s">
        <v>101</v>
      </c>
      <c r="AW79" s="15" t="s">
        <v>46</v>
      </c>
      <c r="AX79" s="3" t="s">
        <v>20</v>
      </c>
      <c r="AY79" s="3" t="s">
        <v>53</v>
      </c>
      <c r="AZ79" s="1" t="s">
        <v>62</v>
      </c>
      <c r="BA79" s="20">
        <v>46.331000000000003</v>
      </c>
      <c r="BB79" s="20">
        <v>0.16800000000000001</v>
      </c>
      <c r="BC79" s="20">
        <v>46.075000000000003</v>
      </c>
      <c r="BD79" s="20">
        <v>4.8000000000000001E-2</v>
      </c>
      <c r="BE79" s="20">
        <f t="shared" si="44"/>
        <v>0.25600000000000023</v>
      </c>
      <c r="BF79" s="20">
        <f t="shared" si="45"/>
        <v>0.17472263734273244</v>
      </c>
      <c r="BG79" s="20">
        <f t="shared" si="46"/>
        <v>3.0528E-2</v>
      </c>
      <c r="BH79" s="8">
        <v>-0.35</v>
      </c>
      <c r="BI79" s="20">
        <f t="shared" si="47"/>
        <v>0.36723600000000023</v>
      </c>
    </row>
    <row r="80" spans="10:61">
      <c r="AA80" s="15" t="s">
        <v>82</v>
      </c>
      <c r="AB80" s="15" t="s">
        <v>46</v>
      </c>
      <c r="AC80" s="3" t="s">
        <v>22</v>
      </c>
      <c r="AD80" s="3" t="s">
        <v>54</v>
      </c>
      <c r="AE80" s="1" t="s">
        <v>63</v>
      </c>
      <c r="AF80" s="20">
        <v>-2.5150000000000001</v>
      </c>
      <c r="AG80" s="20">
        <v>0.13100000000000001</v>
      </c>
      <c r="AH80" s="20">
        <v>-2.371</v>
      </c>
      <c r="AI80" s="20">
        <v>0.10299999999999999</v>
      </c>
      <c r="AJ80" s="20">
        <f t="shared" si="40"/>
        <v>-0.14400000000000013</v>
      </c>
      <c r="AK80" s="20">
        <f t="shared" si="41"/>
        <v>0.1666433316997713</v>
      </c>
      <c r="AL80" s="20">
        <f t="shared" si="42"/>
        <v>2.7770000000000003E-2</v>
      </c>
      <c r="AM80" s="8">
        <v>0.52</v>
      </c>
      <c r="AN80" s="20">
        <f t="shared" si="43"/>
        <v>0.44089600000000018</v>
      </c>
      <c r="AV80" s="15" t="s">
        <v>101</v>
      </c>
      <c r="AW80" s="15" t="s">
        <v>46</v>
      </c>
      <c r="AX80" s="3" t="s">
        <v>22</v>
      </c>
      <c r="AY80" s="3" t="s">
        <v>54</v>
      </c>
      <c r="AZ80" s="1" t="s">
        <v>63</v>
      </c>
      <c r="BA80" s="20">
        <v>-2.5760000000000001</v>
      </c>
      <c r="BB80" s="20">
        <v>5.2999999999999999E-2</v>
      </c>
      <c r="BC80" s="20">
        <v>-2.5590000000000002</v>
      </c>
      <c r="BD80" s="20">
        <v>7.3999999999999996E-2</v>
      </c>
      <c r="BE80" s="20">
        <f t="shared" si="44"/>
        <v>-1.6999999999999904E-2</v>
      </c>
      <c r="BF80" s="20">
        <f t="shared" si="45"/>
        <v>9.1021975368588873E-2</v>
      </c>
      <c r="BG80" s="20">
        <f t="shared" si="46"/>
        <v>8.284999999999999E-3</v>
      </c>
      <c r="BH80" s="8">
        <v>0.52</v>
      </c>
      <c r="BI80" s="20">
        <f t="shared" si="47"/>
        <v>0.28836899999999993</v>
      </c>
    </row>
    <row r="81" spans="27:61">
      <c r="AA81" s="15" t="s">
        <v>82</v>
      </c>
      <c r="AB81" s="15" t="s">
        <v>46</v>
      </c>
      <c r="AC81" s="3" t="s">
        <v>23</v>
      </c>
      <c r="AD81" s="3" t="s">
        <v>55</v>
      </c>
      <c r="AE81" s="1" t="s">
        <v>64</v>
      </c>
      <c r="AF81" s="20">
        <v>-4.2750000000000004</v>
      </c>
      <c r="AG81" s="20">
        <v>0.29199999999999998</v>
      </c>
      <c r="AH81" s="20">
        <v>-4.6749999999999998</v>
      </c>
      <c r="AI81" s="20">
        <v>0.09</v>
      </c>
      <c r="AJ81" s="20">
        <f t="shared" si="40"/>
        <v>0.39999999999999947</v>
      </c>
      <c r="AK81" s="20">
        <f t="shared" si="41"/>
        <v>0.30555523232306137</v>
      </c>
      <c r="AL81" s="20">
        <f t="shared" si="42"/>
        <v>9.3364000000000003E-2</v>
      </c>
      <c r="AM81" s="8">
        <v>1.08</v>
      </c>
      <c r="AN81" s="20">
        <f t="shared" si="43"/>
        <v>0.46240000000000081</v>
      </c>
      <c r="AV81" s="15" t="s">
        <v>101</v>
      </c>
      <c r="AW81" s="15" t="s">
        <v>46</v>
      </c>
      <c r="AX81" s="3" t="s">
        <v>23</v>
      </c>
      <c r="AY81" s="3" t="s">
        <v>55</v>
      </c>
      <c r="AZ81" s="1" t="s">
        <v>64</v>
      </c>
      <c r="BA81" s="20">
        <v>-4.0140000000000002</v>
      </c>
      <c r="BB81" s="20">
        <v>0.20300000000000001</v>
      </c>
      <c r="BC81" s="20">
        <v>-4.47</v>
      </c>
      <c r="BD81" s="20">
        <v>0.13700000000000001</v>
      </c>
      <c r="BE81" s="20">
        <f t="shared" si="44"/>
        <v>0.45599999999999952</v>
      </c>
      <c r="BF81" s="20">
        <f t="shared" si="45"/>
        <v>0.24490406284910834</v>
      </c>
      <c r="BG81" s="20">
        <f t="shared" si="46"/>
        <v>5.997800000000001E-2</v>
      </c>
      <c r="BH81" s="8">
        <v>1.08</v>
      </c>
      <c r="BI81" s="20">
        <f t="shared" si="47"/>
        <v>0.38937600000000067</v>
      </c>
    </row>
    <row r="82" spans="27:61">
      <c r="AA82" s="15" t="s">
        <v>82</v>
      </c>
      <c r="AB82" s="15" t="s">
        <v>46</v>
      </c>
      <c r="AC82" s="8" t="s">
        <v>27</v>
      </c>
      <c r="AD82" s="9" t="s">
        <v>28</v>
      </c>
      <c r="AE82" s="1" t="s">
        <v>65</v>
      </c>
      <c r="AF82" s="20">
        <v>-8.1370000000000005</v>
      </c>
      <c r="AG82" s="20">
        <v>0.107</v>
      </c>
      <c r="AH82" s="20">
        <v>-8.5500000000000007</v>
      </c>
      <c r="AI82" s="20">
        <v>9.1923879999999999E-2</v>
      </c>
      <c r="AJ82" s="20">
        <f t="shared" si="40"/>
        <v>0.41300000000000026</v>
      </c>
      <c r="AK82" s="20">
        <f t="shared" si="41"/>
        <v>0.14106381433328108</v>
      </c>
      <c r="AL82" s="20">
        <f t="shared" si="42"/>
        <v>1.9898999714254396E-2</v>
      </c>
      <c r="AM82" s="9">
        <v>-0.21</v>
      </c>
      <c r="AN82" s="20">
        <f t="shared" si="43"/>
        <v>0.38812900000000028</v>
      </c>
      <c r="AV82" s="15" t="s">
        <v>101</v>
      </c>
      <c r="AW82" s="15" t="s">
        <v>46</v>
      </c>
      <c r="AX82" s="8" t="s">
        <v>27</v>
      </c>
      <c r="AY82" s="9" t="s">
        <v>28</v>
      </c>
      <c r="AZ82" s="1" t="s">
        <v>65</v>
      </c>
      <c r="BA82" s="20">
        <v>-8.32</v>
      </c>
      <c r="BB82" s="20">
        <v>8.1394099999999997E-2</v>
      </c>
      <c r="BC82" s="20">
        <v>-8.6389999999999993</v>
      </c>
      <c r="BD82" s="20">
        <v>2.4413109999999998E-2</v>
      </c>
      <c r="BE82" s="20">
        <f t="shared" si="44"/>
        <v>0.31899999999999906</v>
      </c>
      <c r="BF82" s="20">
        <f t="shared" si="45"/>
        <v>8.4976464122026751E-2</v>
      </c>
      <c r="BG82" s="20">
        <f t="shared" si="46"/>
        <v>7.2209994546820998E-3</v>
      </c>
      <c r="BH82" s="9">
        <v>-0.21</v>
      </c>
      <c r="BI82" s="20">
        <f t="shared" si="47"/>
        <v>0.27984099999999895</v>
      </c>
    </row>
    <row r="83" spans="27:61">
      <c r="AA83" s="15" t="s">
        <v>82</v>
      </c>
      <c r="AB83" s="15" t="s">
        <v>46</v>
      </c>
      <c r="AC83" s="3" t="s">
        <v>25</v>
      </c>
      <c r="AD83" s="3" t="s">
        <v>87</v>
      </c>
      <c r="AE83" s="1" t="s">
        <v>93</v>
      </c>
      <c r="AF83" s="20">
        <v>71.343999999999994</v>
      </c>
      <c r="AG83" s="20">
        <v>0.19900000000000001</v>
      </c>
      <c r="AH83" s="20">
        <v>69.974999999999994</v>
      </c>
      <c r="AI83" s="20">
        <v>0.26800000000000002</v>
      </c>
      <c r="AJ83" s="20">
        <f t="shared" si="40"/>
        <v>1.3689999999999998</v>
      </c>
      <c r="AK83" s="20">
        <f t="shared" si="41"/>
        <v>0.33380383460949042</v>
      </c>
      <c r="AL83" s="20">
        <f t="shared" si="42"/>
        <v>0.11142500000000004</v>
      </c>
      <c r="AM83" s="8">
        <v>1.1100000000000001</v>
      </c>
      <c r="AN83" s="20">
        <f t="shared" si="43"/>
        <v>6.7080999999999835E-2</v>
      </c>
      <c r="AV83" s="15" t="s">
        <v>101</v>
      </c>
      <c r="AW83" s="15" t="s">
        <v>46</v>
      </c>
      <c r="AX83" s="3" t="s">
        <v>25</v>
      </c>
      <c r="AY83" s="3" t="s">
        <v>87</v>
      </c>
      <c r="AZ83" s="1" t="s">
        <v>93</v>
      </c>
      <c r="BA83" s="20">
        <v>71.227999999999994</v>
      </c>
      <c r="BB83" s="20">
        <v>0.373</v>
      </c>
      <c r="BC83" s="20">
        <v>69.39</v>
      </c>
      <c r="BD83" s="20">
        <v>0.107</v>
      </c>
      <c r="BE83" s="20">
        <f>BA83-BC83</f>
        <v>1.8379999999999939</v>
      </c>
      <c r="BF83" s="20">
        <f>SQRT((BB83)^2 + (BD83)^2)</f>
        <v>0.38804381195942295</v>
      </c>
      <c r="BG83" s="20">
        <f>BF83^2</f>
        <v>0.15057799999999999</v>
      </c>
      <c r="BH83" s="8">
        <v>1.1100000000000001</v>
      </c>
      <c r="BI83" s="20">
        <f>(BE83-BH83)^2</f>
        <v>0.52998399999999091</v>
      </c>
    </row>
    <row r="84" spans="27:61">
      <c r="AA84" s="15" t="s">
        <v>101</v>
      </c>
      <c r="AB84" s="15" t="s">
        <v>46</v>
      </c>
      <c r="AC84" s="3" t="s">
        <v>26</v>
      </c>
      <c r="AD84" s="3" t="s">
        <v>88</v>
      </c>
      <c r="AE84" s="1" t="s">
        <v>94</v>
      </c>
      <c r="AF84" s="20">
        <v>-35.639000000000003</v>
      </c>
      <c r="AG84" s="20">
        <v>0.38500000000000001</v>
      </c>
      <c r="AH84" s="20">
        <v>-40.424999999999997</v>
      </c>
      <c r="AI84" s="20">
        <v>0.127</v>
      </c>
      <c r="AJ84" s="20">
        <f t="shared" si="40"/>
        <v>4.7859999999999943</v>
      </c>
      <c r="AK84" s="20">
        <f t="shared" si="41"/>
        <v>0.4054059693689771</v>
      </c>
      <c r="AL84" s="20">
        <f t="shared" si="42"/>
        <v>0.164354</v>
      </c>
      <c r="AM84" s="8">
        <v>4.45</v>
      </c>
      <c r="AN84" s="20">
        <f t="shared" si="43"/>
        <v>0.11289599999999603</v>
      </c>
      <c r="AV84" s="15" t="s">
        <v>101</v>
      </c>
      <c r="AW84" s="15" t="s">
        <v>46</v>
      </c>
      <c r="AX84" s="3" t="s">
        <v>26</v>
      </c>
      <c r="AY84" s="3" t="s">
        <v>88</v>
      </c>
      <c r="AZ84" s="1" t="s">
        <v>94</v>
      </c>
      <c r="BA84" s="20">
        <v>-35.639000000000003</v>
      </c>
      <c r="BB84" s="20">
        <v>0.38500000000000001</v>
      </c>
      <c r="BC84" s="20">
        <v>-40.424999999999997</v>
      </c>
      <c r="BD84" s="20">
        <v>0.127</v>
      </c>
      <c r="BE84" s="20">
        <f>BA84-BC84</f>
        <v>4.7859999999999943</v>
      </c>
      <c r="BF84" s="20">
        <f>SQRT((BB84)^2 + (BD84)^2)</f>
        <v>0.4054059693689771</v>
      </c>
      <c r="BG84" s="20">
        <f>BF84^2</f>
        <v>0.164354</v>
      </c>
      <c r="BH84" s="8">
        <v>4.45</v>
      </c>
      <c r="BI84" s="20">
        <f>(BE84-BH84)^2</f>
        <v>0.11289599999999603</v>
      </c>
    </row>
    <row r="85" spans="27:61">
      <c r="AA85" s="15" t="s">
        <v>82</v>
      </c>
      <c r="AB85" s="1" t="s">
        <v>70</v>
      </c>
      <c r="AC85" s="3" t="s">
        <v>4</v>
      </c>
      <c r="AD85" s="3" t="s">
        <v>71</v>
      </c>
      <c r="AE85" s="1" t="s">
        <v>75</v>
      </c>
      <c r="AF85" s="20">
        <v>46.597000000000001</v>
      </c>
      <c r="AG85" s="20">
        <v>0.13800000000000001</v>
      </c>
      <c r="AH85" s="20">
        <v>46.381</v>
      </c>
      <c r="AI85" s="20">
        <v>7.5999999999999998E-2</v>
      </c>
      <c r="AJ85" s="20">
        <f t="shared" si="40"/>
        <v>0.21600000000000108</v>
      </c>
      <c r="AK85" s="20">
        <f t="shared" si="41"/>
        <v>0.15754364474646385</v>
      </c>
      <c r="AL85" s="20">
        <f t="shared" si="42"/>
        <v>2.4820000000000005E-2</v>
      </c>
      <c r="AM85" s="8">
        <v>-0.24</v>
      </c>
      <c r="AN85" s="20">
        <f t="shared" si="43"/>
        <v>0.20793600000000098</v>
      </c>
      <c r="AV85" s="15" t="s">
        <v>101</v>
      </c>
      <c r="AW85" s="1" t="s">
        <v>70</v>
      </c>
      <c r="AX85" s="3" t="s">
        <v>4</v>
      </c>
      <c r="AY85" s="3" t="s">
        <v>71</v>
      </c>
      <c r="AZ85" s="1" t="s">
        <v>75</v>
      </c>
      <c r="BA85" s="20">
        <v>46.500999999999998</v>
      </c>
      <c r="BB85" s="20">
        <v>0.09</v>
      </c>
      <c r="BC85" s="20">
        <v>46.497</v>
      </c>
      <c r="BD85" s="20">
        <v>8.2000000000000003E-2</v>
      </c>
      <c r="BE85" s="20">
        <f t="shared" ref="BE85:BE87" si="48">BA85-BC85</f>
        <v>3.9999999999977831E-3</v>
      </c>
      <c r="BF85" s="20">
        <f t="shared" ref="BF85:BF87" si="49">SQRT((BB85)^2 + (BD85)^2)</f>
        <v>0.1217538500417954</v>
      </c>
      <c r="BG85" s="20">
        <f t="shared" ref="BG85:BG87" si="50">BF85^2</f>
        <v>1.4824E-2</v>
      </c>
      <c r="BH85" s="8">
        <v>-0.24</v>
      </c>
      <c r="BI85" s="20">
        <f t="shared" ref="BI85:BI87" si="51">(BE85-BH85)^2</f>
        <v>5.9535999999998916E-2</v>
      </c>
    </row>
    <row r="86" spans="27:61">
      <c r="AA86" s="15" t="s">
        <v>82</v>
      </c>
      <c r="AB86" s="1" t="s">
        <v>70</v>
      </c>
      <c r="AC86" s="3" t="s">
        <v>12</v>
      </c>
      <c r="AD86" s="3" t="s">
        <v>104</v>
      </c>
      <c r="AE86" s="1" t="s">
        <v>106</v>
      </c>
      <c r="AF86" s="20">
        <v>-23.72</v>
      </c>
      <c r="AG86" s="20">
        <v>0.11700000000000001</v>
      </c>
      <c r="AH86" s="20">
        <v>-23.588999999999999</v>
      </c>
      <c r="AI86" s="20">
        <v>0.14099999999999999</v>
      </c>
      <c r="AJ86" s="20">
        <f t="shared" si="40"/>
        <v>-0.13100000000000023</v>
      </c>
      <c r="AK86" s="20">
        <f t="shared" si="41"/>
        <v>0.18322117781522965</v>
      </c>
      <c r="AL86" s="20">
        <f t="shared" si="42"/>
        <v>3.3570000000000003E-2</v>
      </c>
      <c r="AM86" s="8">
        <v>0.85</v>
      </c>
      <c r="AN86" s="20">
        <f t="shared" si="43"/>
        <v>0.96236100000000036</v>
      </c>
      <c r="AV86" s="15" t="s">
        <v>101</v>
      </c>
      <c r="AW86" s="1" t="s">
        <v>70</v>
      </c>
      <c r="AX86" s="3" t="s">
        <v>12</v>
      </c>
      <c r="AY86" s="3" t="s">
        <v>104</v>
      </c>
      <c r="AZ86" s="1" t="s">
        <v>106</v>
      </c>
      <c r="BA86" s="20">
        <v>-23.943000000000001</v>
      </c>
      <c r="BB86" s="20">
        <v>0.187</v>
      </c>
      <c r="BC86" s="20">
        <v>-24.111000000000001</v>
      </c>
      <c r="BD86" s="20">
        <v>0.11600000000000001</v>
      </c>
      <c r="BE86" s="20">
        <f t="shared" si="48"/>
        <v>0.16799999999999926</v>
      </c>
      <c r="BF86" s="20">
        <f t="shared" si="49"/>
        <v>0.22005681084665388</v>
      </c>
      <c r="BG86" s="20">
        <f t="shared" si="50"/>
        <v>4.8425000000000003E-2</v>
      </c>
      <c r="BH86" s="8">
        <v>0.85</v>
      </c>
      <c r="BI86" s="20">
        <f t="shared" si="51"/>
        <v>0.46512400000000098</v>
      </c>
    </row>
    <row r="87" spans="27:61">
      <c r="AA87" s="15" t="s">
        <v>82</v>
      </c>
      <c r="AB87" s="1" t="s">
        <v>70</v>
      </c>
      <c r="AC87" s="3" t="s">
        <v>14</v>
      </c>
      <c r="AD87" s="3" t="s">
        <v>74</v>
      </c>
      <c r="AE87" s="1" t="s">
        <v>78</v>
      </c>
      <c r="AF87" s="20">
        <v>-11.115</v>
      </c>
      <c r="AG87" s="20">
        <v>0.28299999999999997</v>
      </c>
      <c r="AH87" s="20">
        <v>-10.105</v>
      </c>
      <c r="AI87" s="20">
        <v>0.123</v>
      </c>
      <c r="AJ87" s="20">
        <f t="shared" si="40"/>
        <v>-1.0099999999999998</v>
      </c>
      <c r="AK87" s="20">
        <f t="shared" si="41"/>
        <v>0.30857414019972573</v>
      </c>
      <c r="AL87" s="20">
        <f t="shared" si="42"/>
        <v>9.5217999999999997E-2</v>
      </c>
      <c r="AM87" s="8">
        <v>-0.78</v>
      </c>
      <c r="AN87" s="20">
        <f t="shared" si="43"/>
        <v>5.2899999999999892E-2</v>
      </c>
      <c r="AV87" s="15" t="s">
        <v>101</v>
      </c>
      <c r="AW87" s="1" t="s">
        <v>70</v>
      </c>
      <c r="AX87" s="3" t="s">
        <v>14</v>
      </c>
      <c r="AY87" s="3" t="s">
        <v>74</v>
      </c>
      <c r="AZ87" s="1" t="s">
        <v>78</v>
      </c>
      <c r="BA87" s="20">
        <v>-10.510999999999999</v>
      </c>
      <c r="BB87" s="20">
        <v>0.13900000000000001</v>
      </c>
      <c r="BC87" s="20">
        <v>-10.164</v>
      </c>
      <c r="BD87" s="20">
        <v>0.04</v>
      </c>
      <c r="BE87" s="20">
        <f t="shared" si="48"/>
        <v>-0.34699999999999953</v>
      </c>
      <c r="BF87" s="20">
        <f t="shared" si="49"/>
        <v>0.14464093473149295</v>
      </c>
      <c r="BG87" s="20">
        <f t="shared" si="50"/>
        <v>2.0921000000000002E-2</v>
      </c>
      <c r="BH87" s="8">
        <v>-0.78</v>
      </c>
      <c r="BI87" s="20">
        <f t="shared" si="51"/>
        <v>0.18748900000000043</v>
      </c>
    </row>
    <row r="88" spans="27:61">
      <c r="AL88" s="18" t="s">
        <v>67</v>
      </c>
      <c r="AM88" s="18"/>
      <c r="AN88" s="18" t="s">
        <v>67</v>
      </c>
      <c r="BG88" s="18" t="s">
        <v>67</v>
      </c>
      <c r="BH88" s="18"/>
      <c r="BI88" s="18" t="s">
        <v>67</v>
      </c>
    </row>
    <row r="89" spans="27:61">
      <c r="AL89" s="20">
        <f>SUM(AL70:AL87)</f>
        <v>1.585220999714255</v>
      </c>
      <c r="AN89" s="20">
        <f>SUM(AN70:AN87)</f>
        <v>25.167497000000001</v>
      </c>
      <c r="BG89" s="20">
        <f>SUM(BG70:BG87)</f>
        <v>1.2375309994546821</v>
      </c>
      <c r="BI89" s="20">
        <f>SUM(BI70:BI87)</f>
        <v>23.260464999999925</v>
      </c>
    </row>
    <row r="91" spans="27:61">
      <c r="AM91" s="19" t="s">
        <v>68</v>
      </c>
      <c r="AN91" s="20">
        <f>SQRT(AN89/18)</f>
        <v>1.1824526535036308</v>
      </c>
      <c r="BH91" s="19" t="s">
        <v>68</v>
      </c>
      <c r="BI91" s="20">
        <f>SQRT(BI89/18)</f>
        <v>1.1367708896499555</v>
      </c>
    </row>
    <row r="92" spans="27:61">
      <c r="AM92" s="19" t="s">
        <v>40</v>
      </c>
      <c r="AN92" s="20">
        <f>SQRT(AL89/18)</f>
        <v>0.29676225049264371</v>
      </c>
      <c r="BH92" s="19" t="s">
        <v>40</v>
      </c>
      <c r="BI92" s="20">
        <f>SQRT(BG89/18)</f>
        <v>0.26220549611311883</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3D98-96C8-E94C-AA64-2BFE8BB6AD07}">
  <dimension ref="A1:BJ87"/>
  <sheetViews>
    <sheetView workbookViewId="0">
      <selection sqref="A1:G15"/>
    </sheetView>
  </sheetViews>
  <sheetFormatPr baseColWidth="10" defaultRowHeight="16"/>
  <cols>
    <col min="1" max="1" width="31.6640625" customWidth="1"/>
    <col min="2" max="2" width="38.6640625" customWidth="1"/>
    <col min="3" max="3" width="23" customWidth="1"/>
    <col min="5" max="5" width="26.5" customWidth="1"/>
    <col min="6" max="6" width="43.1640625" customWidth="1"/>
    <col min="7" max="7" width="16.1640625" customWidth="1"/>
    <col min="12" max="12" width="20.33203125" customWidth="1"/>
    <col min="13" max="14" width="12.6640625" customWidth="1"/>
    <col min="15" max="15" width="15.5" customWidth="1"/>
    <col min="16" max="16" width="20.83203125" customWidth="1"/>
    <col min="17" max="17" width="13" customWidth="1"/>
    <col min="18" max="18" width="21.33203125" customWidth="1"/>
    <col min="20" max="20" width="13" customWidth="1"/>
    <col min="21" max="21" width="15.33203125" customWidth="1"/>
    <col min="23" max="23" width="13.5" customWidth="1"/>
    <col min="24" max="24" width="18.1640625" customWidth="1"/>
    <col min="28" max="28" width="11.83203125" customWidth="1"/>
    <col min="29" max="29" width="17.5" customWidth="1"/>
    <col min="30" max="30" width="12.33203125" customWidth="1"/>
    <col min="32" max="32" width="15.5" customWidth="1"/>
    <col min="33" max="33" width="18.6640625" customWidth="1"/>
    <col min="34" max="34" width="14.33203125" customWidth="1"/>
    <col min="35" max="35" width="19" customWidth="1"/>
    <col min="36" max="37" width="11.33203125" customWidth="1"/>
    <col min="38" max="38" width="13.5" customWidth="1"/>
    <col min="40" max="40" width="17.1640625" customWidth="1"/>
    <col min="41" max="41" width="19.1640625" customWidth="1"/>
    <col min="49" max="49" width="12.1640625" customWidth="1"/>
    <col min="50" max="50" width="17.83203125" customWidth="1"/>
    <col min="53" max="53" width="16.83203125" customWidth="1"/>
    <col min="54" max="54" width="19.33203125" customWidth="1"/>
    <col min="55" max="55" width="18.33203125" customWidth="1"/>
    <col min="56" max="56" width="21" customWidth="1"/>
    <col min="58" max="58" width="13" customWidth="1"/>
    <col min="59" max="59" width="13.6640625" customWidth="1"/>
    <col min="61" max="61" width="15.83203125" customWidth="1"/>
    <col min="62" max="62" width="18.33203125" customWidth="1"/>
  </cols>
  <sheetData>
    <row r="1" spans="1:62" ht="17">
      <c r="A1" s="2" t="s">
        <v>115</v>
      </c>
      <c r="B1" s="2" t="s">
        <v>116</v>
      </c>
      <c r="C1" s="2" t="s">
        <v>2</v>
      </c>
      <c r="D1" s="1"/>
      <c r="E1" s="2" t="s">
        <v>117</v>
      </c>
      <c r="F1" s="2" t="s">
        <v>118</v>
      </c>
      <c r="G1" s="2" t="s">
        <v>2</v>
      </c>
      <c r="J1" s="10" t="s">
        <v>29</v>
      </c>
      <c r="K1" s="11"/>
      <c r="L1" s="11"/>
      <c r="M1" s="11"/>
      <c r="N1" s="11"/>
      <c r="O1" s="11"/>
      <c r="P1" s="11"/>
      <c r="Q1" s="11"/>
      <c r="R1" s="11"/>
      <c r="S1" s="11"/>
      <c r="T1" s="11"/>
      <c r="U1" s="11"/>
      <c r="V1" s="11"/>
      <c r="W1" s="11"/>
      <c r="X1" s="11"/>
      <c r="AA1" s="10" t="s">
        <v>81</v>
      </c>
      <c r="AB1" s="11"/>
      <c r="AC1" s="11"/>
      <c r="AD1" s="11"/>
      <c r="AE1" s="11"/>
      <c r="AF1" s="11"/>
      <c r="AG1" s="11"/>
      <c r="AH1" s="11"/>
      <c r="AI1" s="11"/>
      <c r="AJ1" s="11"/>
      <c r="AK1" s="11"/>
      <c r="AL1" s="11"/>
      <c r="AM1" s="11"/>
      <c r="AN1" s="11"/>
      <c r="AO1" s="11"/>
      <c r="AV1" s="10" t="s">
        <v>111</v>
      </c>
      <c r="AW1" s="11"/>
      <c r="AX1" s="11"/>
      <c r="AY1" s="11"/>
      <c r="AZ1" s="11"/>
      <c r="BA1" s="11"/>
      <c r="BB1" s="11"/>
      <c r="BC1" s="11"/>
      <c r="BD1" s="11"/>
      <c r="BE1" s="11"/>
      <c r="BF1" s="11"/>
      <c r="BG1" s="11"/>
      <c r="BH1" s="11"/>
      <c r="BI1" s="11"/>
      <c r="BJ1" s="11"/>
    </row>
    <row r="2" spans="1:62">
      <c r="A2" s="16" t="s">
        <v>4</v>
      </c>
      <c r="B2" s="16">
        <v>558</v>
      </c>
      <c r="C2" s="16">
        <v>-0.22</v>
      </c>
      <c r="D2" s="1"/>
      <c r="E2" s="25" t="s">
        <v>9</v>
      </c>
      <c r="F2" s="3" t="s">
        <v>83</v>
      </c>
      <c r="G2" s="16">
        <v>1.48</v>
      </c>
      <c r="J2" s="12" t="s">
        <v>30</v>
      </c>
      <c r="K2" s="12" t="s">
        <v>31</v>
      </c>
      <c r="L2" s="13" t="s">
        <v>32</v>
      </c>
      <c r="M2" s="12" t="s">
        <v>33</v>
      </c>
      <c r="N2" s="12" t="s">
        <v>34</v>
      </c>
      <c r="O2" s="12" t="s">
        <v>35</v>
      </c>
      <c r="P2" s="12" t="s">
        <v>36</v>
      </c>
      <c r="Q2" s="12" t="s">
        <v>37</v>
      </c>
      <c r="R2" s="12" t="s">
        <v>38</v>
      </c>
      <c r="S2" s="12" t="s">
        <v>39</v>
      </c>
      <c r="T2" s="14" t="s">
        <v>40</v>
      </c>
      <c r="U2" s="12" t="s">
        <v>41</v>
      </c>
      <c r="V2" s="12" t="s">
        <v>42</v>
      </c>
      <c r="W2" s="12" t="s">
        <v>43</v>
      </c>
      <c r="X2" s="12" t="s">
        <v>44</v>
      </c>
      <c r="AA2" s="12" t="s">
        <v>30</v>
      </c>
      <c r="AB2" s="12" t="s">
        <v>31</v>
      </c>
      <c r="AC2" s="13" t="s">
        <v>32</v>
      </c>
      <c r="AD2" s="12" t="s">
        <v>33</v>
      </c>
      <c r="AE2" s="12" t="s">
        <v>34</v>
      </c>
      <c r="AF2" s="12" t="s">
        <v>35</v>
      </c>
      <c r="AG2" s="12" t="s">
        <v>36</v>
      </c>
      <c r="AH2" s="12" t="s">
        <v>37</v>
      </c>
      <c r="AI2" s="12" t="s">
        <v>38</v>
      </c>
      <c r="AJ2" s="12" t="s">
        <v>39</v>
      </c>
      <c r="AK2" s="14" t="s">
        <v>40</v>
      </c>
      <c r="AL2" s="12" t="s">
        <v>41</v>
      </c>
      <c r="AM2" s="12" t="s">
        <v>42</v>
      </c>
      <c r="AN2" s="12" t="s">
        <v>43</v>
      </c>
      <c r="AO2" s="12" t="s">
        <v>44</v>
      </c>
      <c r="AV2" s="12" t="s">
        <v>30</v>
      </c>
      <c r="AW2" s="12" t="s">
        <v>31</v>
      </c>
      <c r="AX2" s="13" t="s">
        <v>32</v>
      </c>
      <c r="AY2" s="12" t="s">
        <v>33</v>
      </c>
      <c r="AZ2" s="12" t="s">
        <v>34</v>
      </c>
      <c r="BA2" s="12" t="s">
        <v>35</v>
      </c>
      <c r="BB2" s="12" t="s">
        <v>36</v>
      </c>
      <c r="BC2" s="12" t="s">
        <v>37</v>
      </c>
      <c r="BD2" s="12" t="s">
        <v>38</v>
      </c>
      <c r="BE2" s="12" t="s">
        <v>39</v>
      </c>
      <c r="BF2" s="14" t="s">
        <v>40</v>
      </c>
      <c r="BG2" s="12" t="s">
        <v>41</v>
      </c>
      <c r="BH2" s="12" t="s">
        <v>42</v>
      </c>
      <c r="BI2" s="12" t="s">
        <v>43</v>
      </c>
      <c r="BJ2" s="12" t="s">
        <v>44</v>
      </c>
    </row>
    <row r="3" spans="1:62">
      <c r="A3" s="16" t="s">
        <v>119</v>
      </c>
      <c r="B3" s="16">
        <v>561</v>
      </c>
      <c r="C3" s="16">
        <v>0.2</v>
      </c>
      <c r="D3" s="1"/>
      <c r="E3" s="16" t="s">
        <v>11</v>
      </c>
      <c r="F3" s="3" t="s">
        <v>84</v>
      </c>
      <c r="G3" s="16">
        <v>1.33</v>
      </c>
      <c r="J3" s="26" t="s">
        <v>45</v>
      </c>
      <c r="K3" s="26" t="s">
        <v>46</v>
      </c>
      <c r="L3" s="9" t="s">
        <v>121</v>
      </c>
      <c r="M3" s="8" t="s">
        <v>122</v>
      </c>
      <c r="N3" s="11" t="s">
        <v>140</v>
      </c>
      <c r="O3" s="20">
        <v>4.8090000000000002</v>
      </c>
      <c r="P3" s="20">
        <v>0.26900000000000002</v>
      </c>
      <c r="Q3" s="20">
        <v>6.4260000000000002</v>
      </c>
      <c r="R3" s="20">
        <v>4.2000000000000003E-2</v>
      </c>
      <c r="S3" s="20">
        <f>O3-Q3</f>
        <v>-1.617</v>
      </c>
      <c r="T3" s="20">
        <f>SQRT((P3)^2 + (R3)^2)</f>
        <v>0.27225906780123965</v>
      </c>
      <c r="U3" s="20">
        <f>T3^2</f>
        <v>7.412500000000001E-2</v>
      </c>
      <c r="V3" s="9">
        <v>0.05</v>
      </c>
      <c r="W3" s="20">
        <f>(S3-V3)^2</f>
        <v>2.7788889999999999</v>
      </c>
      <c r="X3" s="9" t="s">
        <v>66</v>
      </c>
      <c r="AA3" s="26" t="s">
        <v>101</v>
      </c>
      <c r="AB3" s="26" t="s">
        <v>46</v>
      </c>
      <c r="AC3" s="25" t="s">
        <v>9</v>
      </c>
      <c r="AD3" s="3" t="s">
        <v>83</v>
      </c>
      <c r="AE3" s="1" t="s">
        <v>89</v>
      </c>
      <c r="AF3" s="20">
        <v>-32.768000000000001</v>
      </c>
      <c r="AG3" s="20">
        <v>0.253</v>
      </c>
      <c r="AH3" s="20">
        <v>-37.600999999999999</v>
      </c>
      <c r="AI3" s="20">
        <v>0.17</v>
      </c>
      <c r="AJ3" s="20">
        <f>AF3-AH3</f>
        <v>4.8329999999999984</v>
      </c>
      <c r="AK3" s="20">
        <f>SQRT((AG3)^2 + (AI3)^2)</f>
        <v>0.304809776746088</v>
      </c>
      <c r="AL3" s="20">
        <f>AK3^2</f>
        <v>9.2909000000000005E-2</v>
      </c>
      <c r="AM3" s="9">
        <v>1.48</v>
      </c>
      <c r="AN3" s="20">
        <f>(AJ3-AM3)^2</f>
        <v>11.242608999999989</v>
      </c>
      <c r="AO3" s="20" t="s">
        <v>153</v>
      </c>
      <c r="AP3" s="11"/>
      <c r="AQ3" s="11"/>
      <c r="AV3" s="26" t="s">
        <v>101</v>
      </c>
      <c r="AW3" s="26" t="s">
        <v>46</v>
      </c>
      <c r="AX3" s="23" t="s">
        <v>9</v>
      </c>
      <c r="AY3" s="3" t="s">
        <v>83</v>
      </c>
      <c r="AZ3" s="1" t="s">
        <v>89</v>
      </c>
      <c r="BA3" s="20">
        <v>-32.768000000000001</v>
      </c>
      <c r="BB3" s="20">
        <v>0.253</v>
      </c>
      <c r="BC3" s="20">
        <v>-37.600999999999999</v>
      </c>
      <c r="BD3" s="20">
        <v>0.17</v>
      </c>
      <c r="BE3" s="20">
        <f>BA3-BC3</f>
        <v>4.8329999999999984</v>
      </c>
      <c r="BF3" s="20">
        <f>SQRT((BB3)^2 + (BD3)^2)</f>
        <v>0.304809776746088</v>
      </c>
      <c r="BG3" s="20">
        <f>BF3^2</f>
        <v>9.2909000000000005E-2</v>
      </c>
      <c r="BH3" s="9">
        <v>1.48</v>
      </c>
      <c r="BI3" s="20">
        <f>(BE3-BH3)^2</f>
        <v>11.242608999999989</v>
      </c>
      <c r="BJ3" s="20" t="s">
        <v>153</v>
      </c>
    </row>
    <row r="4" spans="1:62">
      <c r="A4" s="25" t="s">
        <v>120</v>
      </c>
      <c r="B4" s="16">
        <v>621</v>
      </c>
      <c r="C4" s="16">
        <v>-0.87</v>
      </c>
      <c r="D4" s="1"/>
      <c r="E4" s="16" t="s">
        <v>121</v>
      </c>
      <c r="F4" s="3" t="s">
        <v>122</v>
      </c>
      <c r="G4" s="16">
        <v>0.05</v>
      </c>
      <c r="J4" s="26" t="s">
        <v>45</v>
      </c>
      <c r="K4" s="26" t="s">
        <v>46</v>
      </c>
      <c r="L4" s="9" t="s">
        <v>126</v>
      </c>
      <c r="M4" s="8" t="s">
        <v>50</v>
      </c>
      <c r="N4" s="11" t="s">
        <v>59</v>
      </c>
      <c r="O4" s="20">
        <v>14.904</v>
      </c>
      <c r="P4" s="20">
        <v>0.217</v>
      </c>
      <c r="Q4" s="20">
        <v>12.847</v>
      </c>
      <c r="R4" s="20">
        <v>0.21199999999999999</v>
      </c>
      <c r="S4" s="20">
        <f t="shared" ref="S4:S12" si="0">O4-Q4</f>
        <v>2.0570000000000004</v>
      </c>
      <c r="T4" s="20">
        <f t="shared" ref="T4:T12" si="1">SQRT((P4)^2 + (R4)^2)</f>
        <v>0.30336941177383064</v>
      </c>
      <c r="U4" s="20">
        <f t="shared" ref="U4:U12" si="2">T4^2</f>
        <v>9.2033000000000018E-2</v>
      </c>
      <c r="V4" s="9">
        <v>0.35</v>
      </c>
      <c r="W4" s="20">
        <f t="shared" ref="W4:W12" si="3">(S4-V4)^2</f>
        <v>2.9138490000000008</v>
      </c>
      <c r="X4" s="9" t="s">
        <v>66</v>
      </c>
      <c r="AA4" s="26" t="s">
        <v>101</v>
      </c>
      <c r="AB4" s="26" t="s">
        <v>46</v>
      </c>
      <c r="AC4" s="16" t="s">
        <v>11</v>
      </c>
      <c r="AD4" s="3" t="s">
        <v>84</v>
      </c>
      <c r="AE4" s="1" t="s">
        <v>90</v>
      </c>
      <c r="AF4" s="20">
        <v>-40.853999999999999</v>
      </c>
      <c r="AG4" s="20">
        <v>0.308</v>
      </c>
      <c r="AH4" s="20">
        <v>-42.293999999999997</v>
      </c>
      <c r="AI4" s="20">
        <v>9.8000000000000004E-2</v>
      </c>
      <c r="AJ4" s="20">
        <f t="shared" ref="AJ4:AJ15" si="4">AF4-AH4</f>
        <v>1.4399999999999977</v>
      </c>
      <c r="AK4" s="20">
        <f t="shared" ref="AK4:AK15" si="5">SQRT((AG4)^2 + (AI4)^2)</f>
        <v>0.32321509865722547</v>
      </c>
      <c r="AL4" s="20">
        <f t="shared" ref="AL4:AL15" si="6">AK4^2</f>
        <v>0.10446799999999999</v>
      </c>
      <c r="AM4" s="9">
        <v>1.33</v>
      </c>
      <c r="AN4" s="20">
        <f t="shared" ref="AN4:AN15" si="7">(AJ4-AM4)^2</f>
        <v>1.2099999999999484E-2</v>
      </c>
      <c r="AO4" s="20" t="s">
        <v>153</v>
      </c>
      <c r="AP4" s="11"/>
      <c r="AQ4" s="11"/>
      <c r="AV4" s="26" t="s">
        <v>101</v>
      </c>
      <c r="AW4" s="26" t="s">
        <v>46</v>
      </c>
      <c r="AX4" s="16" t="s">
        <v>11</v>
      </c>
      <c r="AY4" s="3" t="s">
        <v>84</v>
      </c>
      <c r="AZ4" s="1" t="s">
        <v>90</v>
      </c>
      <c r="BA4" s="20">
        <v>-40.853999999999999</v>
      </c>
      <c r="BB4" s="20">
        <v>0.308</v>
      </c>
      <c r="BC4" s="20">
        <v>-42.293999999999997</v>
      </c>
      <c r="BD4" s="20">
        <v>9.8000000000000004E-2</v>
      </c>
      <c r="BE4" s="20">
        <f t="shared" ref="BE4:BE15" si="8">BA4-BC4</f>
        <v>1.4399999999999977</v>
      </c>
      <c r="BF4" s="20">
        <f t="shared" ref="BF4:BF15" si="9">SQRT((BB4)^2 + (BD4)^2)</f>
        <v>0.32321509865722547</v>
      </c>
      <c r="BG4" s="20">
        <f t="shared" ref="BG4:BG15" si="10">BF4^2</f>
        <v>0.10446799999999999</v>
      </c>
      <c r="BH4" s="9">
        <v>1.33</v>
      </c>
      <c r="BI4" s="20">
        <f t="shared" ref="BI4:BI15" si="11">(BE4-BH4)^2</f>
        <v>1.2099999999999484E-2</v>
      </c>
      <c r="BJ4" s="20" t="s">
        <v>153</v>
      </c>
    </row>
    <row r="5" spans="1:62">
      <c r="A5" s="25" t="s">
        <v>123</v>
      </c>
      <c r="B5" s="24">
        <v>623</v>
      </c>
      <c r="C5" s="16">
        <v>0.83</v>
      </c>
      <c r="D5" s="1"/>
      <c r="E5" s="16" t="s">
        <v>124</v>
      </c>
      <c r="F5" s="3" t="s">
        <v>125</v>
      </c>
      <c r="G5" s="16">
        <v>0.76</v>
      </c>
      <c r="J5" s="26" t="s">
        <v>45</v>
      </c>
      <c r="K5" s="26" t="s">
        <v>46</v>
      </c>
      <c r="L5" s="9" t="s">
        <v>127</v>
      </c>
      <c r="M5" s="8" t="s">
        <v>51</v>
      </c>
      <c r="N5" s="11" t="s">
        <v>60</v>
      </c>
      <c r="O5" s="20">
        <v>-5.4009999999999998</v>
      </c>
      <c r="P5" s="20">
        <v>0.26500000000000001</v>
      </c>
      <c r="Q5" s="20">
        <v>-5.7939999999999996</v>
      </c>
      <c r="R5" s="20">
        <v>8.1000000000000003E-2</v>
      </c>
      <c r="S5" s="20">
        <f t="shared" si="0"/>
        <v>0.39299999999999979</v>
      </c>
      <c r="T5" s="20">
        <f t="shared" si="1"/>
        <v>0.27710286898550873</v>
      </c>
      <c r="U5" s="20">
        <f t="shared" si="2"/>
        <v>7.6786000000000021E-2</v>
      </c>
      <c r="V5" s="9">
        <v>1.25</v>
      </c>
      <c r="W5" s="20">
        <f t="shared" si="3"/>
        <v>0.73444900000000035</v>
      </c>
      <c r="X5" s="9" t="s">
        <v>66</v>
      </c>
      <c r="AA5" s="26" t="s">
        <v>82</v>
      </c>
      <c r="AB5" s="26" t="s">
        <v>46</v>
      </c>
      <c r="AC5" s="16" t="s">
        <v>121</v>
      </c>
      <c r="AD5" s="3" t="s">
        <v>122</v>
      </c>
      <c r="AE5" s="1" t="s">
        <v>140</v>
      </c>
      <c r="AF5" s="20">
        <v>5.5069999999999997</v>
      </c>
      <c r="AG5" s="20">
        <v>0.38500000000000001</v>
      </c>
      <c r="AH5" s="20">
        <v>6.383</v>
      </c>
      <c r="AI5" s="20">
        <v>0.16400000000000001</v>
      </c>
      <c r="AJ5" s="20">
        <f t="shared" si="4"/>
        <v>-0.87600000000000033</v>
      </c>
      <c r="AK5" s="20">
        <f t="shared" si="5"/>
        <v>0.41847461093834593</v>
      </c>
      <c r="AL5" s="20">
        <f t="shared" si="6"/>
        <v>0.175121</v>
      </c>
      <c r="AM5" s="9">
        <v>0.05</v>
      </c>
      <c r="AN5" s="20">
        <f t="shared" si="7"/>
        <v>0.85747600000000068</v>
      </c>
      <c r="AO5" s="20" t="s">
        <v>95</v>
      </c>
      <c r="AP5" s="11"/>
      <c r="AQ5" s="11"/>
      <c r="AV5" s="26" t="s">
        <v>101</v>
      </c>
      <c r="AW5" s="26" t="s">
        <v>46</v>
      </c>
      <c r="AX5" s="16" t="s">
        <v>121</v>
      </c>
      <c r="AY5" s="3" t="s">
        <v>122</v>
      </c>
      <c r="AZ5" s="1" t="s">
        <v>140</v>
      </c>
      <c r="BA5" s="20">
        <v>5.8849999999999998</v>
      </c>
      <c r="BB5" s="20">
        <v>0.308</v>
      </c>
      <c r="BC5" s="20">
        <v>6.0949999999999998</v>
      </c>
      <c r="BD5" s="20">
        <v>5.8999999999999997E-2</v>
      </c>
      <c r="BE5" s="20">
        <f t="shared" si="8"/>
        <v>-0.20999999999999996</v>
      </c>
      <c r="BF5" s="20">
        <f t="shared" si="9"/>
        <v>0.3136000637755037</v>
      </c>
      <c r="BG5" s="20">
        <f t="shared" si="10"/>
        <v>9.8344999999999988E-2</v>
      </c>
      <c r="BH5" s="9">
        <v>0.05</v>
      </c>
      <c r="BI5" s="20">
        <f t="shared" si="11"/>
        <v>6.759999999999998E-2</v>
      </c>
      <c r="BJ5" s="20" t="s">
        <v>155</v>
      </c>
    </row>
    <row r="6" spans="1:62">
      <c r="A6" s="16"/>
      <c r="B6" s="16"/>
      <c r="C6" s="16"/>
      <c r="D6" s="1"/>
      <c r="E6" s="16" t="s">
        <v>126</v>
      </c>
      <c r="F6" s="3" t="s">
        <v>50</v>
      </c>
      <c r="G6" s="16">
        <v>0.35</v>
      </c>
      <c r="J6" s="26" t="s">
        <v>45</v>
      </c>
      <c r="K6" s="26" t="s">
        <v>46</v>
      </c>
      <c r="L6" s="9" t="s">
        <v>128</v>
      </c>
      <c r="M6" s="8" t="s">
        <v>129</v>
      </c>
      <c r="N6" s="11" t="s">
        <v>61</v>
      </c>
      <c r="O6" s="20">
        <v>-5.0679999999999996</v>
      </c>
      <c r="P6" s="20">
        <v>0.16200000000000001</v>
      </c>
      <c r="Q6" s="20">
        <v>-6.867</v>
      </c>
      <c r="R6" s="20">
        <v>3.4000000000000002E-2</v>
      </c>
      <c r="S6" s="20">
        <f t="shared" si="0"/>
        <v>1.7990000000000004</v>
      </c>
      <c r="T6" s="20">
        <f t="shared" si="1"/>
        <v>0.16552945357246848</v>
      </c>
      <c r="U6" s="20">
        <f t="shared" si="2"/>
        <v>2.7399999999999997E-2</v>
      </c>
      <c r="V6" s="9">
        <v>1.1499999999999999</v>
      </c>
      <c r="W6" s="20">
        <f t="shared" si="3"/>
        <v>0.4212010000000006</v>
      </c>
      <c r="X6" s="9" t="s">
        <v>66</v>
      </c>
      <c r="AA6" s="26" t="s">
        <v>101</v>
      </c>
      <c r="AB6" s="26" t="s">
        <v>46</v>
      </c>
      <c r="AC6" s="16" t="s">
        <v>124</v>
      </c>
      <c r="AD6" s="3" t="s">
        <v>125</v>
      </c>
      <c r="AE6" s="1" t="s">
        <v>58</v>
      </c>
      <c r="AF6" s="20">
        <v>-39.872999999999998</v>
      </c>
      <c r="AG6" s="20">
        <v>0.33900000000000002</v>
      </c>
      <c r="AH6" s="20">
        <v>-42.363</v>
      </c>
      <c r="AI6" s="20">
        <v>4.7E-2</v>
      </c>
      <c r="AJ6" s="20">
        <f t="shared" si="4"/>
        <v>2.490000000000002</v>
      </c>
      <c r="AK6" s="20">
        <f t="shared" si="5"/>
        <v>0.34224260401066375</v>
      </c>
      <c r="AL6" s="20">
        <f t="shared" si="6"/>
        <v>0.11713</v>
      </c>
      <c r="AM6" s="9">
        <v>0.76</v>
      </c>
      <c r="AN6" s="20">
        <f t="shared" si="7"/>
        <v>2.9929000000000068</v>
      </c>
      <c r="AO6" s="20" t="s">
        <v>155</v>
      </c>
      <c r="AP6" s="11"/>
      <c r="AQ6" s="11"/>
      <c r="AV6" s="26" t="s">
        <v>101</v>
      </c>
      <c r="AW6" s="26" t="s">
        <v>46</v>
      </c>
      <c r="AX6" s="16" t="s">
        <v>124</v>
      </c>
      <c r="AY6" s="3" t="s">
        <v>125</v>
      </c>
      <c r="AZ6" s="1" t="s">
        <v>58</v>
      </c>
      <c r="BA6" s="20">
        <v>-39.872999999999998</v>
      </c>
      <c r="BB6" s="20">
        <v>0.33900000000000002</v>
      </c>
      <c r="BC6" s="20">
        <v>-42.363</v>
      </c>
      <c r="BD6" s="20">
        <v>4.7E-2</v>
      </c>
      <c r="BE6" s="20">
        <f t="shared" si="8"/>
        <v>2.490000000000002</v>
      </c>
      <c r="BF6" s="20">
        <f t="shared" si="9"/>
        <v>0.34224260401066375</v>
      </c>
      <c r="BG6" s="20">
        <f t="shared" si="10"/>
        <v>0.11713</v>
      </c>
      <c r="BH6" s="9">
        <v>0.76</v>
      </c>
      <c r="BI6" s="20">
        <f t="shared" si="11"/>
        <v>2.9929000000000068</v>
      </c>
      <c r="BJ6" s="20" t="s">
        <v>155</v>
      </c>
    </row>
    <row r="7" spans="1:62">
      <c r="A7" s="16"/>
      <c r="B7" s="16"/>
      <c r="C7" s="16"/>
      <c r="D7" s="1"/>
      <c r="E7" s="16" t="s">
        <v>127</v>
      </c>
      <c r="F7" s="3" t="s">
        <v>51</v>
      </c>
      <c r="G7" s="16">
        <v>1.25</v>
      </c>
      <c r="J7" s="26" t="s">
        <v>45</v>
      </c>
      <c r="K7" s="26" t="s">
        <v>46</v>
      </c>
      <c r="L7" s="9" t="s">
        <v>130</v>
      </c>
      <c r="M7" s="8" t="s">
        <v>85</v>
      </c>
      <c r="N7" s="11" t="s">
        <v>91</v>
      </c>
      <c r="O7" s="20">
        <v>-4.9720000000000004</v>
      </c>
      <c r="P7" s="20">
        <v>0.23300000000000001</v>
      </c>
      <c r="Q7" s="20">
        <v>-5.3529999999999998</v>
      </c>
      <c r="R7" s="20">
        <v>0.22600000000000001</v>
      </c>
      <c r="S7" s="20">
        <f t="shared" si="0"/>
        <v>0.38099999999999934</v>
      </c>
      <c r="T7" s="20">
        <f t="shared" si="1"/>
        <v>0.32459975354272841</v>
      </c>
      <c r="U7" s="20">
        <f t="shared" si="2"/>
        <v>0.10536500000000003</v>
      </c>
      <c r="V7" s="9">
        <v>0.86</v>
      </c>
      <c r="W7" s="20">
        <f t="shared" si="3"/>
        <v>0.22944100000000062</v>
      </c>
      <c r="X7" s="9" t="s">
        <v>66</v>
      </c>
      <c r="AA7" s="26" t="s">
        <v>82</v>
      </c>
      <c r="AB7" s="26" t="s">
        <v>46</v>
      </c>
      <c r="AC7" s="16" t="s">
        <v>126</v>
      </c>
      <c r="AD7" s="3" t="s">
        <v>50</v>
      </c>
      <c r="AE7" s="1" t="s">
        <v>59</v>
      </c>
      <c r="AF7" s="20">
        <v>15.722</v>
      </c>
      <c r="AG7" s="20">
        <v>0.17100000000000001</v>
      </c>
      <c r="AH7" s="20">
        <v>13.2</v>
      </c>
      <c r="AI7" s="20">
        <v>0.107</v>
      </c>
      <c r="AJ7" s="20">
        <f t="shared" si="4"/>
        <v>2.5220000000000002</v>
      </c>
      <c r="AK7" s="20">
        <f t="shared" si="5"/>
        <v>0.20171762441591465</v>
      </c>
      <c r="AL7" s="20">
        <f t="shared" si="6"/>
        <v>4.0690000000000004E-2</v>
      </c>
      <c r="AM7" s="9">
        <v>0.35</v>
      </c>
      <c r="AN7" s="20">
        <f t="shared" si="7"/>
        <v>4.7175840000000004</v>
      </c>
      <c r="AO7" s="20" t="s">
        <v>95</v>
      </c>
      <c r="AP7" s="11"/>
      <c r="AQ7" s="11"/>
      <c r="AV7" s="26" t="s">
        <v>101</v>
      </c>
      <c r="AW7" s="26" t="s">
        <v>46</v>
      </c>
      <c r="AX7" s="16" t="s">
        <v>126</v>
      </c>
      <c r="AY7" s="3" t="s">
        <v>50</v>
      </c>
      <c r="AZ7" s="1" t="s">
        <v>59</v>
      </c>
      <c r="BA7" s="20">
        <v>15.317</v>
      </c>
      <c r="BB7" s="20">
        <v>0.129</v>
      </c>
      <c r="BC7" s="20">
        <v>13.378</v>
      </c>
      <c r="BD7" s="20">
        <v>4.4999999999999998E-2</v>
      </c>
      <c r="BE7" s="20">
        <f t="shared" si="8"/>
        <v>1.9390000000000001</v>
      </c>
      <c r="BF7" s="20">
        <f t="shared" si="9"/>
        <v>0.1366235704408284</v>
      </c>
      <c r="BG7" s="20">
        <f t="shared" si="10"/>
        <v>1.8665999999999999E-2</v>
      </c>
      <c r="BH7" s="9">
        <v>0.35</v>
      </c>
      <c r="BI7" s="20">
        <f t="shared" si="11"/>
        <v>2.524921</v>
      </c>
      <c r="BJ7" s="20" t="s">
        <v>155</v>
      </c>
    </row>
    <row r="8" spans="1:62">
      <c r="A8" s="16"/>
      <c r="B8" s="16"/>
      <c r="C8" s="16"/>
      <c r="D8" s="1"/>
      <c r="E8" s="16" t="s">
        <v>128</v>
      </c>
      <c r="F8" s="3" t="s">
        <v>129</v>
      </c>
      <c r="G8" s="16">
        <v>1.1499999999999999</v>
      </c>
      <c r="J8" s="26" t="s">
        <v>45</v>
      </c>
      <c r="K8" s="26" t="s">
        <v>46</v>
      </c>
      <c r="L8" s="9" t="s">
        <v>131</v>
      </c>
      <c r="M8" s="8" t="s">
        <v>132</v>
      </c>
      <c r="N8" s="11" t="s">
        <v>141</v>
      </c>
      <c r="O8" s="20">
        <v>47.298000000000002</v>
      </c>
      <c r="P8" s="20">
        <v>0.318</v>
      </c>
      <c r="Q8" s="20">
        <v>46.334000000000003</v>
      </c>
      <c r="R8" s="20">
        <v>2.7E-2</v>
      </c>
      <c r="S8" s="20">
        <f t="shared" si="0"/>
        <v>0.96399999999999864</v>
      </c>
      <c r="T8" s="20">
        <f t="shared" si="1"/>
        <v>0.31914416804948825</v>
      </c>
      <c r="U8" s="20">
        <f t="shared" si="2"/>
        <v>0.101853</v>
      </c>
      <c r="V8" s="9">
        <v>1.1100000000000001</v>
      </c>
      <c r="W8" s="20">
        <f t="shared" si="3"/>
        <v>2.1316000000000428E-2</v>
      </c>
      <c r="X8" s="9" t="s">
        <v>66</v>
      </c>
      <c r="AA8" s="26" t="s">
        <v>82</v>
      </c>
      <c r="AB8" s="26" t="s">
        <v>46</v>
      </c>
      <c r="AC8" s="16" t="s">
        <v>127</v>
      </c>
      <c r="AD8" s="3" t="s">
        <v>51</v>
      </c>
      <c r="AE8" s="1" t="s">
        <v>60</v>
      </c>
      <c r="AF8" s="20">
        <v>-5.3150000000000004</v>
      </c>
      <c r="AG8" s="20">
        <v>0.23</v>
      </c>
      <c r="AH8" s="20">
        <v>-5.7530000000000001</v>
      </c>
      <c r="AI8" s="20">
        <v>7.6999999999999999E-2</v>
      </c>
      <c r="AJ8" s="20">
        <f t="shared" si="4"/>
        <v>0.43799999999999972</v>
      </c>
      <c r="AK8" s="20">
        <f t="shared" si="5"/>
        <v>0.24254690268069803</v>
      </c>
      <c r="AL8" s="20">
        <f t="shared" si="6"/>
        <v>5.8829000000000006E-2</v>
      </c>
      <c r="AM8" s="9">
        <v>1.25</v>
      </c>
      <c r="AN8" s="20">
        <f t="shared" si="7"/>
        <v>0.65934400000000049</v>
      </c>
      <c r="AO8" s="20" t="s">
        <v>95</v>
      </c>
      <c r="AP8" s="11"/>
      <c r="AQ8" s="11"/>
      <c r="AV8" s="26" t="s">
        <v>101</v>
      </c>
      <c r="AW8" s="26" t="s">
        <v>46</v>
      </c>
      <c r="AX8" s="16" t="s">
        <v>127</v>
      </c>
      <c r="AY8" s="3" t="s">
        <v>51</v>
      </c>
      <c r="AZ8" s="1" t="s">
        <v>60</v>
      </c>
      <c r="BA8" s="20">
        <v>-5.3380000000000001</v>
      </c>
      <c r="BB8" s="20">
        <v>0.11</v>
      </c>
      <c r="BC8" s="20">
        <v>-5.7450000000000001</v>
      </c>
      <c r="BD8" s="20">
        <v>2.9000000000000001E-2</v>
      </c>
      <c r="BE8" s="20">
        <f t="shared" si="8"/>
        <v>0.40700000000000003</v>
      </c>
      <c r="BF8" s="20">
        <f t="shared" si="9"/>
        <v>0.113758516164725</v>
      </c>
      <c r="BG8" s="20">
        <f t="shared" si="10"/>
        <v>1.2940999999999999E-2</v>
      </c>
      <c r="BH8" s="9">
        <v>1.25</v>
      </c>
      <c r="BI8" s="20">
        <f t="shared" si="11"/>
        <v>0.71064899999999998</v>
      </c>
      <c r="BJ8" s="20" t="s">
        <v>155</v>
      </c>
    </row>
    <row r="9" spans="1:62">
      <c r="A9" s="16"/>
      <c r="B9" s="16"/>
      <c r="C9" s="16"/>
      <c r="D9" s="1"/>
      <c r="E9" s="16" t="s">
        <v>130</v>
      </c>
      <c r="F9" s="3" t="s">
        <v>85</v>
      </c>
      <c r="G9" s="16">
        <v>0.86</v>
      </c>
      <c r="J9" s="26" t="s">
        <v>45</v>
      </c>
      <c r="K9" s="26" t="s">
        <v>46</v>
      </c>
      <c r="L9" s="9" t="s">
        <v>133</v>
      </c>
      <c r="M9" s="8" t="s">
        <v>53</v>
      </c>
      <c r="N9" s="11" t="s">
        <v>62</v>
      </c>
      <c r="O9" s="20">
        <v>47.186</v>
      </c>
      <c r="P9" s="20">
        <v>0.23499999999999999</v>
      </c>
      <c r="Q9" s="20">
        <v>45.956000000000003</v>
      </c>
      <c r="R9" s="20">
        <v>6.5000000000000002E-2</v>
      </c>
      <c r="S9" s="20">
        <f t="shared" si="0"/>
        <v>1.2299999999999969</v>
      </c>
      <c r="T9" s="20">
        <f t="shared" si="1"/>
        <v>0.24382370680473217</v>
      </c>
      <c r="U9" s="20">
        <f t="shared" si="2"/>
        <v>5.9449999999999996E-2</v>
      </c>
      <c r="V9" s="9">
        <v>0.55000000000000004</v>
      </c>
      <c r="W9" s="20">
        <f t="shared" si="3"/>
        <v>0.4623999999999957</v>
      </c>
      <c r="X9" s="9" t="s">
        <v>66</v>
      </c>
      <c r="AA9" s="26" t="s">
        <v>82</v>
      </c>
      <c r="AB9" s="26" t="s">
        <v>46</v>
      </c>
      <c r="AC9" s="16" t="s">
        <v>128</v>
      </c>
      <c r="AD9" s="3" t="s">
        <v>129</v>
      </c>
      <c r="AE9" s="1" t="s">
        <v>61</v>
      </c>
      <c r="AF9" s="20">
        <v>-5.4610000000000003</v>
      </c>
      <c r="AG9" s="20">
        <v>6.9000000000000006E-2</v>
      </c>
      <c r="AH9" s="20">
        <v>-6.91</v>
      </c>
      <c r="AI9" s="20">
        <v>4.4999999999999998E-2</v>
      </c>
      <c r="AJ9" s="20">
        <f t="shared" si="4"/>
        <v>1.4489999999999998</v>
      </c>
      <c r="AK9" s="20">
        <f t="shared" si="5"/>
        <v>8.2377181306475894E-2</v>
      </c>
      <c r="AL9" s="20">
        <f t="shared" si="6"/>
        <v>6.7860000000000012E-3</v>
      </c>
      <c r="AM9" s="9">
        <v>1.1499999999999999</v>
      </c>
      <c r="AN9" s="20">
        <f t="shared" si="7"/>
        <v>8.9400999999999953E-2</v>
      </c>
      <c r="AO9" s="20" t="s">
        <v>95</v>
      </c>
      <c r="AP9" s="11"/>
      <c r="AQ9" s="11"/>
      <c r="AV9" s="26" t="s">
        <v>101</v>
      </c>
      <c r="AW9" s="26" t="s">
        <v>46</v>
      </c>
      <c r="AX9" s="16" t="s">
        <v>128</v>
      </c>
      <c r="AY9" s="3" t="s">
        <v>129</v>
      </c>
      <c r="AZ9" s="1" t="s">
        <v>61</v>
      </c>
      <c r="BA9" s="20">
        <v>-5.5890000000000004</v>
      </c>
      <c r="BB9" s="20">
        <v>0.156</v>
      </c>
      <c r="BC9" s="20">
        <v>-7.125</v>
      </c>
      <c r="BD9" s="20">
        <v>0.09</v>
      </c>
      <c r="BE9" s="20">
        <f t="shared" si="8"/>
        <v>1.5359999999999996</v>
      </c>
      <c r="BF9" s="20">
        <f t="shared" si="9"/>
        <v>0.18009997223764362</v>
      </c>
      <c r="BG9" s="20">
        <f t="shared" si="10"/>
        <v>3.2436000000000006E-2</v>
      </c>
      <c r="BH9" s="9">
        <v>1.1499999999999999</v>
      </c>
      <c r="BI9" s="20">
        <f t="shared" si="11"/>
        <v>0.14899599999999974</v>
      </c>
      <c r="BJ9" s="20" t="s">
        <v>155</v>
      </c>
    </row>
    <row r="10" spans="1:62">
      <c r="A10" s="16"/>
      <c r="B10" s="16"/>
      <c r="C10" s="16"/>
      <c r="D10" s="1"/>
      <c r="E10" s="16" t="s">
        <v>131</v>
      </c>
      <c r="F10" s="3" t="s">
        <v>132</v>
      </c>
      <c r="G10" s="16">
        <v>1.1100000000000001</v>
      </c>
      <c r="J10" s="26" t="s">
        <v>45</v>
      </c>
      <c r="K10" s="26" t="s">
        <v>46</v>
      </c>
      <c r="L10" s="9" t="s">
        <v>134</v>
      </c>
      <c r="M10" s="8" t="s">
        <v>135</v>
      </c>
      <c r="N10" s="11" t="s">
        <v>142</v>
      </c>
      <c r="O10" s="20">
        <v>46.652999999999999</v>
      </c>
      <c r="P10" s="20">
        <v>8.8999999999999996E-2</v>
      </c>
      <c r="Q10" s="20">
        <v>46.851999999999997</v>
      </c>
      <c r="R10" s="20">
        <v>0.14299999999999999</v>
      </c>
      <c r="S10" s="20">
        <f t="shared" si="0"/>
        <v>-0.19899999999999807</v>
      </c>
      <c r="T10" s="20">
        <f t="shared" si="1"/>
        <v>0.16843396332094068</v>
      </c>
      <c r="U10" s="20">
        <f t="shared" si="2"/>
        <v>2.8369999999999992E-2</v>
      </c>
      <c r="V10" s="9">
        <v>0.09</v>
      </c>
      <c r="W10" s="20">
        <f t="shared" si="3"/>
        <v>8.352099999999886E-2</v>
      </c>
      <c r="X10" s="9" t="s">
        <v>66</v>
      </c>
      <c r="AA10" s="26" t="s">
        <v>82</v>
      </c>
      <c r="AB10" s="26" t="s">
        <v>46</v>
      </c>
      <c r="AC10" s="16" t="s">
        <v>130</v>
      </c>
      <c r="AD10" s="3" t="s">
        <v>85</v>
      </c>
      <c r="AE10" s="1" t="s">
        <v>91</v>
      </c>
      <c r="AF10" s="20">
        <v>-5.7610000000000001</v>
      </c>
      <c r="AG10" s="20">
        <v>0.127</v>
      </c>
      <c r="AH10" s="20">
        <v>-5.8780000000000001</v>
      </c>
      <c r="AI10" s="20">
        <v>0.34499999999999997</v>
      </c>
      <c r="AJ10" s="20">
        <f t="shared" si="4"/>
        <v>0.11699999999999999</v>
      </c>
      <c r="AK10" s="20">
        <f t="shared" si="5"/>
        <v>0.36763296914177862</v>
      </c>
      <c r="AL10" s="20">
        <f t="shared" si="6"/>
        <v>0.13515399999999994</v>
      </c>
      <c r="AM10" s="9">
        <v>0.86</v>
      </c>
      <c r="AN10" s="20">
        <f t="shared" si="7"/>
        <v>0.55204900000000001</v>
      </c>
      <c r="AO10" s="20" t="s">
        <v>95</v>
      </c>
      <c r="AP10" s="11"/>
      <c r="AQ10" s="11"/>
      <c r="AV10" s="26" t="s">
        <v>101</v>
      </c>
      <c r="AW10" s="26" t="s">
        <v>46</v>
      </c>
      <c r="AX10" s="16" t="s">
        <v>130</v>
      </c>
      <c r="AY10" s="3" t="s">
        <v>85</v>
      </c>
      <c r="AZ10" s="1" t="s">
        <v>91</v>
      </c>
      <c r="BA10" s="20">
        <v>-6.0170000000000003</v>
      </c>
      <c r="BB10" s="20">
        <v>0.253</v>
      </c>
      <c r="BC10" s="20">
        <v>-6.242</v>
      </c>
      <c r="BD10" s="20">
        <v>0.157</v>
      </c>
      <c r="BE10" s="20">
        <f t="shared" si="8"/>
        <v>0.22499999999999964</v>
      </c>
      <c r="BF10" s="20">
        <f t="shared" si="9"/>
        <v>0.29775493278869453</v>
      </c>
      <c r="BG10" s="20">
        <f t="shared" si="10"/>
        <v>8.8658000000000001E-2</v>
      </c>
      <c r="BH10" s="9">
        <v>0.86</v>
      </c>
      <c r="BI10" s="20">
        <f t="shared" si="11"/>
        <v>0.40322500000000044</v>
      </c>
      <c r="BJ10" s="20" t="s">
        <v>155</v>
      </c>
    </row>
    <row r="11" spans="1:62">
      <c r="A11" s="16"/>
      <c r="B11" s="16"/>
      <c r="C11" s="16"/>
      <c r="D11" s="1"/>
      <c r="E11" s="16" t="s">
        <v>133</v>
      </c>
      <c r="F11" s="3" t="s">
        <v>53</v>
      </c>
      <c r="G11" s="16">
        <v>0.55000000000000004</v>
      </c>
      <c r="J11" s="26" t="s">
        <v>45</v>
      </c>
      <c r="K11" s="26" t="s">
        <v>46</v>
      </c>
      <c r="L11" s="9" t="s">
        <v>136</v>
      </c>
      <c r="M11" s="8" t="s">
        <v>137</v>
      </c>
      <c r="N11" s="11" t="s">
        <v>143</v>
      </c>
      <c r="O11" s="20">
        <v>-8.3559999999999999</v>
      </c>
      <c r="P11" s="20">
        <v>0.153</v>
      </c>
      <c r="Q11" s="20">
        <v>-7.9059999999999997</v>
      </c>
      <c r="R11" s="20">
        <v>0.33300000000000002</v>
      </c>
      <c r="S11" s="20">
        <f t="shared" si="0"/>
        <v>-0.45000000000000018</v>
      </c>
      <c r="T11" s="20">
        <f t="shared" si="1"/>
        <v>0.36646691528704201</v>
      </c>
      <c r="U11" s="20">
        <f t="shared" si="2"/>
        <v>0.13429800000000003</v>
      </c>
      <c r="V11" s="9">
        <v>0.83</v>
      </c>
      <c r="W11" s="20">
        <f t="shared" si="3"/>
        <v>1.6384000000000007</v>
      </c>
      <c r="X11" s="9" t="s">
        <v>66</v>
      </c>
      <c r="AA11" s="26" t="s">
        <v>82</v>
      </c>
      <c r="AB11" s="26" t="s">
        <v>46</v>
      </c>
      <c r="AC11" s="16" t="s">
        <v>131</v>
      </c>
      <c r="AD11" s="3" t="s">
        <v>132</v>
      </c>
      <c r="AE11" s="1" t="s">
        <v>141</v>
      </c>
      <c r="AF11" s="20">
        <v>47.466999999999999</v>
      </c>
      <c r="AG11" s="20">
        <v>9.4E-2</v>
      </c>
      <c r="AH11" s="20">
        <v>46.307000000000002</v>
      </c>
      <c r="AI11" s="20">
        <v>4.3999999999999997E-2</v>
      </c>
      <c r="AJ11" s="20">
        <f t="shared" si="4"/>
        <v>1.1599999999999966</v>
      </c>
      <c r="AK11" s="20">
        <f t="shared" si="5"/>
        <v>0.10378824596263297</v>
      </c>
      <c r="AL11" s="20">
        <f t="shared" si="6"/>
        <v>1.0772E-2</v>
      </c>
      <c r="AM11" s="9">
        <v>1.1100000000000001</v>
      </c>
      <c r="AN11" s="20">
        <f t="shared" si="7"/>
        <v>2.4999999999996492E-3</v>
      </c>
      <c r="AO11" s="20" t="s">
        <v>95</v>
      </c>
      <c r="AP11" s="11"/>
      <c r="AQ11" s="11"/>
      <c r="AV11" s="26" t="s">
        <v>101</v>
      </c>
      <c r="AW11" s="26" t="s">
        <v>46</v>
      </c>
      <c r="AX11" s="16" t="s">
        <v>131</v>
      </c>
      <c r="AY11" s="3" t="s">
        <v>132</v>
      </c>
      <c r="AZ11" s="1" t="s">
        <v>141</v>
      </c>
      <c r="BA11" s="20">
        <v>46.832000000000001</v>
      </c>
      <c r="BB11" s="20">
        <v>0.127</v>
      </c>
      <c r="BC11" s="20">
        <v>46.286999999999999</v>
      </c>
      <c r="BD11" s="20">
        <v>3.1E-2</v>
      </c>
      <c r="BE11" s="20">
        <f t="shared" si="8"/>
        <v>0.54500000000000171</v>
      </c>
      <c r="BF11" s="20">
        <f t="shared" si="9"/>
        <v>0.130728726758888</v>
      </c>
      <c r="BG11" s="20">
        <f t="shared" si="10"/>
        <v>1.7089999999999998E-2</v>
      </c>
      <c r="BH11" s="9">
        <v>1.1100000000000001</v>
      </c>
      <c r="BI11" s="20">
        <f t="shared" si="11"/>
        <v>0.3192249999999982</v>
      </c>
      <c r="BJ11" s="20" t="s">
        <v>155</v>
      </c>
    </row>
    <row r="12" spans="1:62">
      <c r="A12" s="16"/>
      <c r="B12" s="16"/>
      <c r="C12" s="16"/>
      <c r="D12" s="1"/>
      <c r="E12" s="16" t="s">
        <v>134</v>
      </c>
      <c r="F12" s="3" t="s">
        <v>135</v>
      </c>
      <c r="G12" s="16">
        <v>0.09</v>
      </c>
      <c r="J12" s="26" t="s">
        <v>45</v>
      </c>
      <c r="K12" s="26" t="s">
        <v>46</v>
      </c>
      <c r="L12" s="28" t="s">
        <v>138</v>
      </c>
      <c r="M12" s="8" t="s">
        <v>139</v>
      </c>
      <c r="N12" s="11" t="s">
        <v>144</v>
      </c>
      <c r="O12" s="20">
        <v>-16.396000000000001</v>
      </c>
      <c r="P12" s="20">
        <v>0.312</v>
      </c>
      <c r="Q12" s="20">
        <v>-20.651</v>
      </c>
      <c r="R12" s="20">
        <v>0.21199999999999999</v>
      </c>
      <c r="S12" s="20">
        <f t="shared" si="0"/>
        <v>4.254999999999999</v>
      </c>
      <c r="T12" s="20">
        <f t="shared" si="1"/>
        <v>0.37721081638786552</v>
      </c>
      <c r="U12" s="20">
        <f t="shared" si="2"/>
        <v>0.142288</v>
      </c>
      <c r="V12" s="9">
        <v>1.07</v>
      </c>
      <c r="W12" s="20">
        <f t="shared" si="3"/>
        <v>10.144224999999992</v>
      </c>
      <c r="X12" s="9" t="s">
        <v>66</v>
      </c>
      <c r="AA12" s="26" t="s">
        <v>82</v>
      </c>
      <c r="AB12" s="26" t="s">
        <v>46</v>
      </c>
      <c r="AC12" s="16" t="s">
        <v>133</v>
      </c>
      <c r="AD12" s="3" t="s">
        <v>53</v>
      </c>
      <c r="AE12" s="1" t="s">
        <v>62</v>
      </c>
      <c r="AF12" s="20">
        <v>46.466999999999999</v>
      </c>
      <c r="AG12" s="20">
        <v>0.20399999999999999</v>
      </c>
      <c r="AH12" s="20">
        <v>45.91</v>
      </c>
      <c r="AI12" s="20">
        <v>4.7E-2</v>
      </c>
      <c r="AJ12" s="20">
        <f t="shared" si="4"/>
        <v>0.55700000000000216</v>
      </c>
      <c r="AK12" s="20">
        <f t="shared" si="5"/>
        <v>0.20934421415458321</v>
      </c>
      <c r="AL12" s="20">
        <f t="shared" si="6"/>
        <v>4.3824999999999996E-2</v>
      </c>
      <c r="AM12" s="9">
        <v>0.55000000000000004</v>
      </c>
      <c r="AN12" s="20">
        <f t="shared" si="7"/>
        <v>4.9000000000029617E-5</v>
      </c>
      <c r="AO12" s="20" t="s">
        <v>95</v>
      </c>
      <c r="AP12" s="11"/>
      <c r="AQ12" s="11"/>
      <c r="AV12" s="26" t="s">
        <v>101</v>
      </c>
      <c r="AW12" s="26" t="s">
        <v>46</v>
      </c>
      <c r="AX12" s="16" t="s">
        <v>133</v>
      </c>
      <c r="AY12" s="3" t="s">
        <v>53</v>
      </c>
      <c r="AZ12" s="1" t="s">
        <v>62</v>
      </c>
      <c r="BA12" s="20">
        <v>46.542000000000002</v>
      </c>
      <c r="BB12" s="20">
        <v>0.13200000000000001</v>
      </c>
      <c r="BC12" s="20">
        <v>45.902999999999999</v>
      </c>
      <c r="BD12" s="20">
        <v>6.6000000000000003E-2</v>
      </c>
      <c r="BE12" s="20">
        <f t="shared" si="8"/>
        <v>0.6390000000000029</v>
      </c>
      <c r="BF12" s="20">
        <f t="shared" si="9"/>
        <v>0.14758048651498612</v>
      </c>
      <c r="BG12" s="20">
        <f t="shared" si="10"/>
        <v>2.1780000000000001E-2</v>
      </c>
      <c r="BH12" s="9">
        <v>0.55000000000000004</v>
      </c>
      <c r="BI12" s="20">
        <f t="shared" si="11"/>
        <v>7.9210000000005075E-3</v>
      </c>
      <c r="BJ12" s="20" t="s">
        <v>155</v>
      </c>
    </row>
    <row r="13" spans="1:62">
      <c r="A13" s="16"/>
      <c r="B13" s="16"/>
      <c r="C13" s="16"/>
      <c r="D13" s="1"/>
      <c r="E13" s="16" t="s">
        <v>136</v>
      </c>
      <c r="F13" s="3" t="s">
        <v>137</v>
      </c>
      <c r="G13" s="16">
        <v>0.83</v>
      </c>
      <c r="J13" s="11"/>
      <c r="K13" s="11"/>
      <c r="L13" s="11"/>
      <c r="M13" s="11"/>
      <c r="N13" s="11"/>
      <c r="O13" s="11"/>
      <c r="P13" s="11"/>
      <c r="Q13" s="11"/>
      <c r="R13" s="11"/>
      <c r="S13" s="11"/>
      <c r="T13" s="11"/>
      <c r="U13" s="18" t="s">
        <v>67</v>
      </c>
      <c r="V13" s="18"/>
      <c r="W13" s="18" t="s">
        <v>67</v>
      </c>
      <c r="X13" s="11"/>
      <c r="AA13" s="26" t="s">
        <v>82</v>
      </c>
      <c r="AB13" s="26" t="s">
        <v>46</v>
      </c>
      <c r="AC13" s="16" t="s">
        <v>134</v>
      </c>
      <c r="AD13" s="3" t="s">
        <v>135</v>
      </c>
      <c r="AE13" s="1" t="s">
        <v>142</v>
      </c>
      <c r="AF13" s="20">
        <v>46.451000000000001</v>
      </c>
      <c r="AG13" s="20">
        <v>5.8999999999999997E-2</v>
      </c>
      <c r="AH13" s="20">
        <v>46.646999999999998</v>
      </c>
      <c r="AI13" s="20">
        <v>3.5000000000000003E-2</v>
      </c>
      <c r="AJ13" s="20">
        <f t="shared" si="4"/>
        <v>-0.19599999999999795</v>
      </c>
      <c r="AK13" s="20">
        <f t="shared" si="5"/>
        <v>6.860029154456998E-2</v>
      </c>
      <c r="AL13" s="20">
        <f t="shared" si="6"/>
        <v>4.7059999999999992E-3</v>
      </c>
      <c r="AM13" s="9">
        <v>0.09</v>
      </c>
      <c r="AN13" s="20">
        <f t="shared" si="7"/>
        <v>8.1795999999998814E-2</v>
      </c>
      <c r="AO13" s="20" t="s">
        <v>95</v>
      </c>
      <c r="AP13" s="11"/>
      <c r="AQ13" s="11"/>
      <c r="AV13" s="26" t="s">
        <v>101</v>
      </c>
      <c r="AW13" s="26" t="s">
        <v>46</v>
      </c>
      <c r="AX13" s="16" t="s">
        <v>134</v>
      </c>
      <c r="AY13" s="3" t="s">
        <v>135</v>
      </c>
      <c r="AZ13" s="1" t="s">
        <v>142</v>
      </c>
      <c r="BA13" s="20">
        <v>46.750999999999998</v>
      </c>
      <c r="BB13" s="20">
        <v>5.7000000000000002E-2</v>
      </c>
      <c r="BC13" s="20">
        <v>46.564</v>
      </c>
      <c r="BD13" s="20">
        <v>2.8000000000000001E-2</v>
      </c>
      <c r="BE13" s="20">
        <f t="shared" si="8"/>
        <v>0.18699999999999761</v>
      </c>
      <c r="BF13" s="20">
        <f t="shared" si="9"/>
        <v>6.3505905237229709E-2</v>
      </c>
      <c r="BG13" s="20">
        <f t="shared" si="10"/>
        <v>4.0330000000000001E-3</v>
      </c>
      <c r="BH13" s="9">
        <v>0.09</v>
      </c>
      <c r="BI13" s="20">
        <f t="shared" si="11"/>
        <v>9.4089999999995375E-3</v>
      </c>
      <c r="BJ13" s="20" t="s">
        <v>155</v>
      </c>
    </row>
    <row r="14" spans="1:62">
      <c r="A14" s="16"/>
      <c r="B14" s="5" t="s">
        <v>19</v>
      </c>
      <c r="C14" s="16"/>
      <c r="D14" s="1"/>
      <c r="E14" s="25" t="s">
        <v>138</v>
      </c>
      <c r="F14" s="3" t="s">
        <v>139</v>
      </c>
      <c r="G14" s="16">
        <v>1.07</v>
      </c>
      <c r="J14" s="11"/>
      <c r="K14" s="11"/>
      <c r="L14" s="11"/>
      <c r="M14" s="11"/>
      <c r="N14" s="11"/>
      <c r="O14" s="11"/>
      <c r="P14" s="11"/>
      <c r="Q14" s="11"/>
      <c r="R14" s="11"/>
      <c r="S14" s="11"/>
      <c r="T14" s="11"/>
      <c r="U14" s="20">
        <f>SUM(U3:U12)</f>
        <v>0.84196800000000005</v>
      </c>
      <c r="V14" s="11"/>
      <c r="W14" s="20">
        <f>SUM(W3:W12)</f>
        <v>19.427690999999989</v>
      </c>
      <c r="X14" s="11"/>
      <c r="AA14" s="26" t="s">
        <v>82</v>
      </c>
      <c r="AB14" s="26" t="s">
        <v>46</v>
      </c>
      <c r="AC14" s="16" t="s">
        <v>136</v>
      </c>
      <c r="AD14" s="3" t="s">
        <v>137</v>
      </c>
      <c r="AE14" s="1" t="s">
        <v>143</v>
      </c>
      <c r="AF14" s="20">
        <v>-8.4580000000000002</v>
      </c>
      <c r="AG14" s="20">
        <v>0.1</v>
      </c>
      <c r="AH14" s="20">
        <v>-8.6940000000000008</v>
      </c>
      <c r="AI14" s="20">
        <v>0.13100000000000001</v>
      </c>
      <c r="AJ14" s="20">
        <f t="shared" si="4"/>
        <v>0.23600000000000065</v>
      </c>
      <c r="AK14" s="20">
        <f t="shared" si="5"/>
        <v>0.1648059464946578</v>
      </c>
      <c r="AL14" s="20">
        <f t="shared" si="6"/>
        <v>2.7161000000000008E-2</v>
      </c>
      <c r="AM14" s="9">
        <v>0.83</v>
      </c>
      <c r="AN14" s="20">
        <f t="shared" si="7"/>
        <v>0.35283599999999915</v>
      </c>
      <c r="AO14" s="20" t="s">
        <v>95</v>
      </c>
      <c r="AP14" s="11"/>
      <c r="AQ14" s="11"/>
      <c r="AV14" s="26" t="s">
        <v>101</v>
      </c>
      <c r="AW14" s="26" t="s">
        <v>46</v>
      </c>
      <c r="AX14" s="16" t="s">
        <v>136</v>
      </c>
      <c r="AY14" s="3" t="s">
        <v>137</v>
      </c>
      <c r="AZ14" s="1" t="s">
        <v>143</v>
      </c>
      <c r="BA14" s="20">
        <v>-8.7379999999999995</v>
      </c>
      <c r="BB14" s="20">
        <v>9.0999999999999998E-2</v>
      </c>
      <c r="BC14" s="20">
        <v>-8.6549999999999994</v>
      </c>
      <c r="BD14" s="20">
        <v>3.5000000000000003E-2</v>
      </c>
      <c r="BE14" s="20">
        <f t="shared" si="8"/>
        <v>-8.3000000000000185E-2</v>
      </c>
      <c r="BF14" s="20">
        <f t="shared" si="9"/>
        <v>9.7498717940288832E-2</v>
      </c>
      <c r="BG14" s="20">
        <f t="shared" si="10"/>
        <v>9.5059999999999988E-3</v>
      </c>
      <c r="BH14" s="9">
        <v>0.83</v>
      </c>
      <c r="BI14" s="20">
        <f t="shared" si="11"/>
        <v>0.83356900000000023</v>
      </c>
      <c r="BJ14" s="20" t="s">
        <v>155</v>
      </c>
    </row>
    <row r="15" spans="1:62">
      <c r="A15" s="1" t="s">
        <v>21</v>
      </c>
      <c r="B15" s="7"/>
      <c r="C15" s="1"/>
      <c r="D15" s="1"/>
      <c r="E15" s="1"/>
      <c r="F15" s="1"/>
      <c r="G15" s="1"/>
      <c r="J15" s="11"/>
      <c r="K15" s="11"/>
      <c r="L15" s="11"/>
      <c r="M15" s="11"/>
      <c r="N15" s="11"/>
      <c r="O15" s="11"/>
      <c r="P15" s="11"/>
      <c r="Q15" s="11"/>
      <c r="R15" s="11"/>
      <c r="S15" s="11"/>
      <c r="T15" s="11"/>
      <c r="U15" s="11"/>
      <c r="V15" s="11"/>
      <c r="W15" s="11"/>
      <c r="X15" s="11"/>
      <c r="AA15" s="26" t="s">
        <v>101</v>
      </c>
      <c r="AB15" s="26" t="s">
        <v>46</v>
      </c>
      <c r="AC15" s="25" t="s">
        <v>138</v>
      </c>
      <c r="AD15" s="3" t="s">
        <v>139</v>
      </c>
      <c r="AE15" s="1" t="s">
        <v>144</v>
      </c>
      <c r="AF15" s="20">
        <v>-19.974</v>
      </c>
      <c r="AG15" s="20">
        <v>0.98599999999999999</v>
      </c>
      <c r="AH15" s="20">
        <v>-22.344999999999999</v>
      </c>
      <c r="AI15" s="20">
        <v>0.19</v>
      </c>
      <c r="AJ15" s="20">
        <f t="shared" si="4"/>
        <v>2.3709999999999987</v>
      </c>
      <c r="AK15" s="20">
        <f t="shared" si="5"/>
        <v>1.0041394325490858</v>
      </c>
      <c r="AL15" s="20">
        <f t="shared" si="6"/>
        <v>1.0082960000000001</v>
      </c>
      <c r="AM15" s="9">
        <v>1.07</v>
      </c>
      <c r="AN15" s="20">
        <f t="shared" si="7"/>
        <v>1.6926009999999965</v>
      </c>
      <c r="AO15" s="20" t="s">
        <v>154</v>
      </c>
      <c r="AP15" s="11"/>
      <c r="AQ15" s="11"/>
      <c r="AV15" s="26" t="s">
        <v>101</v>
      </c>
      <c r="AW15" s="26" t="s">
        <v>46</v>
      </c>
      <c r="AX15" s="23" t="s">
        <v>138</v>
      </c>
      <c r="AY15" s="3" t="s">
        <v>139</v>
      </c>
      <c r="AZ15" s="1" t="s">
        <v>144</v>
      </c>
      <c r="BA15" s="20">
        <v>-19.974</v>
      </c>
      <c r="BB15" s="20">
        <v>0.98599999999999999</v>
      </c>
      <c r="BC15" s="20">
        <v>-22.344999999999999</v>
      </c>
      <c r="BD15" s="20">
        <v>0.19</v>
      </c>
      <c r="BE15" s="20">
        <f t="shared" si="8"/>
        <v>2.3709999999999987</v>
      </c>
      <c r="BF15" s="20">
        <f t="shared" si="9"/>
        <v>1.0041394325490858</v>
      </c>
      <c r="BG15" s="20">
        <f t="shared" si="10"/>
        <v>1.0082960000000001</v>
      </c>
      <c r="BH15" s="9">
        <v>1.07</v>
      </c>
      <c r="BI15" s="20">
        <f t="shared" si="11"/>
        <v>1.6926009999999965</v>
      </c>
      <c r="BJ15" s="20" t="s">
        <v>154</v>
      </c>
    </row>
    <row r="16" spans="1:62">
      <c r="A16" s="1"/>
      <c r="B16" s="1"/>
      <c r="C16" s="1"/>
      <c r="D16" s="1"/>
      <c r="E16" s="1"/>
      <c r="F16" s="1"/>
      <c r="G16" s="1"/>
      <c r="J16" s="11"/>
      <c r="K16" s="11"/>
      <c r="L16" s="11"/>
      <c r="M16" s="11"/>
      <c r="N16" s="11"/>
      <c r="O16" s="11"/>
      <c r="P16" s="11"/>
      <c r="Q16" s="11"/>
      <c r="R16" s="11"/>
      <c r="S16" s="11"/>
      <c r="T16" s="11"/>
      <c r="U16" s="11"/>
      <c r="V16" s="19" t="s">
        <v>68</v>
      </c>
      <c r="W16" s="20">
        <f>SQRT(W14/10)</f>
        <v>1.3938325222206571</v>
      </c>
      <c r="X16" s="11"/>
      <c r="AF16" s="11"/>
      <c r="AG16" s="11"/>
      <c r="AH16" s="11"/>
      <c r="AI16" s="11"/>
      <c r="AJ16" s="11"/>
      <c r="AK16" s="11"/>
      <c r="AL16" s="18" t="s">
        <v>67</v>
      </c>
      <c r="AM16" s="18"/>
      <c r="AN16" s="18" t="s">
        <v>67</v>
      </c>
      <c r="AO16" s="11"/>
      <c r="AP16" s="11"/>
      <c r="AQ16" s="11"/>
      <c r="BA16" s="11"/>
      <c r="BB16" s="11"/>
      <c r="BC16" s="11"/>
      <c r="BD16" s="11"/>
      <c r="BE16" s="11"/>
      <c r="BF16" s="11"/>
      <c r="BG16" s="18" t="s">
        <v>67</v>
      </c>
      <c r="BH16" s="18"/>
      <c r="BI16" s="18" t="s">
        <v>67</v>
      </c>
      <c r="BJ16" s="11"/>
    </row>
    <row r="17" spans="10:62">
      <c r="J17" s="11"/>
      <c r="K17" s="11"/>
      <c r="L17" s="11"/>
      <c r="M17" s="11"/>
      <c r="N17" s="11"/>
      <c r="O17" s="11"/>
      <c r="P17" s="11"/>
      <c r="Q17" s="11"/>
      <c r="R17" s="11"/>
      <c r="S17" s="11"/>
      <c r="T17" s="11"/>
      <c r="U17" s="11"/>
      <c r="V17" s="19" t="s">
        <v>40</v>
      </c>
      <c r="W17" s="20">
        <f>SQRT(U14/10)</f>
        <v>0.2901668485544136</v>
      </c>
      <c r="X17" s="11"/>
      <c r="AF17" s="11"/>
      <c r="AG17" s="11"/>
      <c r="AH17" s="11"/>
      <c r="AI17" s="11"/>
      <c r="AJ17" s="11"/>
      <c r="AK17" s="11"/>
      <c r="AL17" s="20">
        <f>SUM(AL3:AL15)</f>
        <v>1.825847</v>
      </c>
      <c r="AM17" s="20"/>
      <c r="AN17" s="20">
        <f>SUM(AN3:AN15)</f>
        <v>23.253244999999993</v>
      </c>
      <c r="AO17" s="11"/>
      <c r="AP17" s="11"/>
      <c r="AQ17" s="11"/>
      <c r="BA17" s="11"/>
      <c r="BB17" s="11"/>
      <c r="BC17" s="11"/>
      <c r="BD17" s="11"/>
      <c r="BE17" s="11"/>
      <c r="BF17" s="11"/>
      <c r="BG17" s="20">
        <f>SUM(BG3:BG15)</f>
        <v>1.626258</v>
      </c>
      <c r="BH17" s="20"/>
      <c r="BI17" s="20">
        <f>SUM(BI3:BI15)</f>
        <v>20.965724999999988</v>
      </c>
      <c r="BJ17" s="11"/>
    </row>
    <row r="18" spans="10:62">
      <c r="W18" s="1"/>
      <c r="AF18" s="11"/>
      <c r="AG18" s="11"/>
      <c r="AH18" s="11"/>
      <c r="AI18" s="11"/>
      <c r="AJ18" s="11"/>
      <c r="AK18" s="11"/>
      <c r="AL18" s="20"/>
      <c r="AM18" s="20"/>
      <c r="AN18" s="20"/>
      <c r="AO18" s="11"/>
      <c r="AP18" s="11"/>
      <c r="AQ18" s="11"/>
      <c r="BA18" s="11"/>
      <c r="BB18" s="11"/>
      <c r="BC18" s="11"/>
      <c r="BD18" s="11"/>
      <c r="BE18" s="11"/>
      <c r="BF18" s="11"/>
      <c r="BG18" s="20"/>
      <c r="BH18" s="20"/>
      <c r="BI18" s="20"/>
      <c r="BJ18" s="11"/>
    </row>
    <row r="19" spans="10:62">
      <c r="AF19" s="11"/>
      <c r="AG19" s="11"/>
      <c r="AH19" s="11"/>
      <c r="AI19" s="11"/>
      <c r="AJ19" s="11"/>
      <c r="AK19" s="11"/>
      <c r="AL19" s="20"/>
      <c r="AM19" s="19" t="s">
        <v>68</v>
      </c>
      <c r="AN19" s="20">
        <f>SQRT(AN17/13)</f>
        <v>1.3374270648697646</v>
      </c>
      <c r="AO19" s="11"/>
      <c r="AP19" s="11"/>
      <c r="AQ19" s="11"/>
      <c r="BA19" s="11"/>
      <c r="BB19" s="11"/>
      <c r="BC19" s="11"/>
      <c r="BD19" s="11"/>
      <c r="BE19" s="11"/>
      <c r="BF19" s="11"/>
      <c r="BG19" s="20"/>
      <c r="BH19" s="19" t="s">
        <v>68</v>
      </c>
      <c r="BI19" s="20">
        <f>SQRT(BI17/13)</f>
        <v>1.2699401863564583</v>
      </c>
      <c r="BJ19" s="11"/>
    </row>
    <row r="20" spans="10:62" ht="17">
      <c r="J20" s="10" t="s">
        <v>69</v>
      </c>
      <c r="AF20" s="11"/>
      <c r="AG20" s="11"/>
      <c r="AH20" s="11"/>
      <c r="AI20" s="11"/>
      <c r="AJ20" s="11"/>
      <c r="AK20" s="11"/>
      <c r="AL20" s="20"/>
      <c r="AM20" s="19" t="s">
        <v>40</v>
      </c>
      <c r="AN20" s="20">
        <f>SQRT(AL17/13)</f>
        <v>0.37476628614480417</v>
      </c>
      <c r="AO20" s="11"/>
      <c r="AP20" s="11"/>
      <c r="AQ20" s="11"/>
      <c r="BA20" s="11"/>
      <c r="BB20" s="11"/>
      <c r="BC20" s="11"/>
      <c r="BD20" s="11"/>
      <c r="BE20" s="11"/>
      <c r="BF20" s="11"/>
      <c r="BG20" s="20"/>
      <c r="BH20" s="19" t="s">
        <v>40</v>
      </c>
      <c r="BI20" s="20">
        <f>SQRT(BG17/13)</f>
        <v>0.35369021647590032</v>
      </c>
      <c r="BJ20" s="11"/>
    </row>
    <row r="21" spans="10:62">
      <c r="J21" s="12" t="s">
        <v>30</v>
      </c>
      <c r="K21" s="12" t="s">
        <v>31</v>
      </c>
      <c r="L21" s="13" t="s">
        <v>32</v>
      </c>
      <c r="M21" s="12" t="s">
        <v>33</v>
      </c>
      <c r="N21" s="12" t="s">
        <v>34</v>
      </c>
      <c r="O21" s="12" t="s">
        <v>35</v>
      </c>
      <c r="P21" s="12" t="s">
        <v>36</v>
      </c>
      <c r="Q21" s="12" t="s">
        <v>37</v>
      </c>
      <c r="R21" s="12" t="s">
        <v>38</v>
      </c>
      <c r="S21" s="12" t="s">
        <v>39</v>
      </c>
      <c r="T21" s="14" t="s">
        <v>40</v>
      </c>
      <c r="U21" s="12" t="s">
        <v>41</v>
      </c>
      <c r="V21" s="12" t="s">
        <v>42</v>
      </c>
      <c r="W21" s="12" t="s">
        <v>43</v>
      </c>
      <c r="X21" s="12" t="s">
        <v>44</v>
      </c>
      <c r="AF21" s="11"/>
      <c r="AG21" s="11"/>
      <c r="AH21" s="11"/>
      <c r="AI21" s="11"/>
      <c r="AJ21" s="11"/>
      <c r="AK21" s="11"/>
      <c r="AL21" s="11"/>
      <c r="AM21" s="11"/>
      <c r="AN21" s="11"/>
      <c r="AO21" s="11"/>
      <c r="AP21" s="11"/>
      <c r="AQ21" s="11"/>
      <c r="BA21" s="11"/>
      <c r="BB21" s="11"/>
      <c r="BC21" s="11"/>
      <c r="BD21" s="11"/>
      <c r="BE21" s="11"/>
      <c r="BF21" s="11"/>
      <c r="BG21" s="11"/>
      <c r="BH21" s="11"/>
      <c r="BI21" s="11"/>
      <c r="BJ21" s="11"/>
    </row>
    <row r="22" spans="10:62">
      <c r="J22" s="15" t="s">
        <v>45</v>
      </c>
      <c r="K22" s="1" t="s">
        <v>70</v>
      </c>
      <c r="L22" s="16" t="s">
        <v>4</v>
      </c>
      <c r="M22" s="16" t="s">
        <v>145</v>
      </c>
      <c r="N22" s="1" t="s">
        <v>149</v>
      </c>
      <c r="O22" s="20">
        <v>46.567999999999998</v>
      </c>
      <c r="P22" s="20">
        <v>0.13700000000000001</v>
      </c>
      <c r="Q22" s="20">
        <v>46.350999999999999</v>
      </c>
      <c r="R22" s="20">
        <v>0.06</v>
      </c>
      <c r="S22" s="20">
        <f>O22-Q22</f>
        <v>0.21699999999999875</v>
      </c>
      <c r="T22" s="20">
        <f>SQRT((P22)^2 + (R22)^2)</f>
        <v>0.14956269588369955</v>
      </c>
      <c r="U22" s="20">
        <f>T22^2</f>
        <v>2.2369E-2</v>
      </c>
      <c r="V22" s="9">
        <v>-0.22</v>
      </c>
      <c r="W22" s="20">
        <f>(S22-V22)^2</f>
        <v>0.19096899999999889</v>
      </c>
      <c r="X22" s="9" t="s">
        <v>66</v>
      </c>
      <c r="AF22" s="11"/>
      <c r="AG22" s="11"/>
      <c r="AH22" s="11"/>
      <c r="AI22" s="11"/>
      <c r="AJ22" s="11"/>
      <c r="AK22" s="11"/>
      <c r="AL22" s="11"/>
      <c r="AM22" s="11"/>
      <c r="AN22" s="11"/>
      <c r="AO22" s="11"/>
      <c r="AP22" s="11"/>
      <c r="AQ22" s="11"/>
      <c r="BA22" s="11"/>
      <c r="BB22" s="11"/>
      <c r="BC22" s="11"/>
      <c r="BD22" s="11"/>
      <c r="BE22" s="11"/>
      <c r="BF22" s="11"/>
      <c r="BG22" s="11"/>
      <c r="BH22" s="11"/>
      <c r="BI22" s="11"/>
      <c r="BJ22" s="11"/>
    </row>
    <row r="23" spans="10:62" ht="17">
      <c r="J23" s="15" t="s">
        <v>45</v>
      </c>
      <c r="K23" s="1" t="s">
        <v>70</v>
      </c>
      <c r="L23" s="16" t="s">
        <v>119</v>
      </c>
      <c r="M23" s="16" t="s">
        <v>146</v>
      </c>
      <c r="N23" s="1" t="s">
        <v>150</v>
      </c>
      <c r="O23" s="20">
        <v>68.072000000000003</v>
      </c>
      <c r="P23" s="20">
        <v>9.4E-2</v>
      </c>
      <c r="Q23" s="20">
        <v>68.706000000000003</v>
      </c>
      <c r="R23" s="20">
        <v>0.115</v>
      </c>
      <c r="S23" s="20">
        <f>O23-Q23</f>
        <v>-0.63400000000000034</v>
      </c>
      <c r="T23" s="20">
        <f>SQRT((P23)^2 + (R23)^2)</f>
        <v>0.14852945835759315</v>
      </c>
      <c r="U23" s="20">
        <f>T23^2</f>
        <v>2.2060999999999997E-2</v>
      </c>
      <c r="V23" s="9">
        <v>0.2</v>
      </c>
      <c r="W23" s="20">
        <f>(S23-V23)^2</f>
        <v>0.69555600000000051</v>
      </c>
      <c r="X23" s="9" t="s">
        <v>66</v>
      </c>
      <c r="AA23" s="10" t="s">
        <v>102</v>
      </c>
      <c r="AF23" s="11"/>
      <c r="AG23" s="11"/>
      <c r="AH23" s="11"/>
      <c r="AI23" s="11"/>
      <c r="AJ23" s="11"/>
      <c r="AK23" s="11"/>
      <c r="AL23" s="11"/>
      <c r="AM23" s="11"/>
      <c r="AN23" s="11"/>
      <c r="AO23" s="11"/>
      <c r="AP23" s="11"/>
      <c r="AQ23" s="11"/>
      <c r="BA23" s="11"/>
      <c r="BB23" s="11"/>
      <c r="BC23" s="11"/>
      <c r="BD23" s="11"/>
      <c r="BE23" s="11"/>
      <c r="BF23" s="11"/>
      <c r="BG23" s="11"/>
      <c r="BH23" s="11"/>
      <c r="BI23" s="11"/>
      <c r="BJ23" s="11"/>
    </row>
    <row r="24" spans="10:62">
      <c r="J24" s="15" t="s">
        <v>45</v>
      </c>
      <c r="K24" s="1" t="s">
        <v>70</v>
      </c>
      <c r="L24" s="25" t="s">
        <v>120</v>
      </c>
      <c r="M24" s="16" t="s">
        <v>147</v>
      </c>
      <c r="N24" s="1" t="s">
        <v>151</v>
      </c>
      <c r="O24" s="20">
        <v>-22.6</v>
      </c>
      <c r="P24" s="20">
        <v>0.183</v>
      </c>
      <c r="Q24" s="20">
        <v>-24.513000000000002</v>
      </c>
      <c r="R24" s="20">
        <v>0.14899999999999999</v>
      </c>
      <c r="S24" s="20">
        <f>O24-Q24</f>
        <v>1.9130000000000003</v>
      </c>
      <c r="T24" s="20">
        <f>SQRT((P24)^2 + (R24)^2)</f>
        <v>0.2359872877932199</v>
      </c>
      <c r="U24" s="20">
        <f>T24^2</f>
        <v>5.568999999999999E-2</v>
      </c>
      <c r="V24" s="9">
        <v>-0.87</v>
      </c>
      <c r="W24" s="20">
        <f>(S24-V24)^2</f>
        <v>7.7450890000000019</v>
      </c>
      <c r="X24" s="9" t="s">
        <v>66</v>
      </c>
      <c r="AA24" s="12" t="s">
        <v>30</v>
      </c>
      <c r="AB24" s="12" t="s">
        <v>31</v>
      </c>
      <c r="AC24" s="13" t="s">
        <v>32</v>
      </c>
      <c r="AD24" s="12" t="s">
        <v>33</v>
      </c>
      <c r="AE24" s="12" t="s">
        <v>34</v>
      </c>
      <c r="AF24" s="12" t="s">
        <v>35</v>
      </c>
      <c r="AG24" s="12" t="s">
        <v>36</v>
      </c>
      <c r="AH24" s="12" t="s">
        <v>37</v>
      </c>
      <c r="AI24" s="12" t="s">
        <v>38</v>
      </c>
      <c r="AJ24" s="12" t="s">
        <v>39</v>
      </c>
      <c r="AK24" s="14" t="s">
        <v>40</v>
      </c>
      <c r="AL24" s="12" t="s">
        <v>41</v>
      </c>
      <c r="AM24" s="12" t="s">
        <v>42</v>
      </c>
      <c r="AN24" s="12" t="s">
        <v>43</v>
      </c>
      <c r="AO24" s="12" t="s">
        <v>44</v>
      </c>
      <c r="AP24" s="11"/>
      <c r="AQ24" s="11"/>
      <c r="BA24" s="11"/>
      <c r="BB24" s="11"/>
      <c r="BC24" s="11"/>
      <c r="BD24" s="11"/>
      <c r="BE24" s="11"/>
      <c r="BF24" s="11"/>
      <c r="BG24" s="11"/>
      <c r="BH24" s="11"/>
      <c r="BI24" s="11"/>
      <c r="BJ24" s="11"/>
    </row>
    <row r="25" spans="10:62">
      <c r="J25" s="15" t="s">
        <v>45</v>
      </c>
      <c r="K25" s="1" t="s">
        <v>70</v>
      </c>
      <c r="L25" s="25" t="s">
        <v>123</v>
      </c>
      <c r="M25" s="24" t="s">
        <v>148</v>
      </c>
      <c r="N25" s="1" t="s">
        <v>152</v>
      </c>
      <c r="O25" s="20">
        <v>-22.948</v>
      </c>
      <c r="P25" s="20">
        <v>0.151</v>
      </c>
      <c r="Q25" s="20">
        <v>-24.225999999999999</v>
      </c>
      <c r="R25" s="20">
        <v>0.223</v>
      </c>
      <c r="S25" s="20">
        <f>O25-Q25</f>
        <v>1.2779999999999987</v>
      </c>
      <c r="T25" s="20">
        <f>SQRT((P25)^2 + (R25)^2)</f>
        <v>0.26931394319641155</v>
      </c>
      <c r="U25" s="20">
        <f>T25^2</f>
        <v>7.2529999999999983E-2</v>
      </c>
      <c r="V25" s="9">
        <v>0.83</v>
      </c>
      <c r="W25" s="20">
        <f>(S25-V25)^2</f>
        <v>0.20070399999999886</v>
      </c>
      <c r="X25" s="9" t="s">
        <v>66</v>
      </c>
      <c r="AA25" s="15" t="s">
        <v>82</v>
      </c>
      <c r="AB25" s="1" t="s">
        <v>70</v>
      </c>
      <c r="AC25" s="16" t="s">
        <v>4</v>
      </c>
      <c r="AD25" s="16" t="s">
        <v>145</v>
      </c>
      <c r="AE25" s="1" t="s">
        <v>149</v>
      </c>
      <c r="AF25" s="1">
        <v>46.143999999999998</v>
      </c>
      <c r="AG25" s="1">
        <v>6.0999999999999999E-2</v>
      </c>
      <c r="AH25" s="20">
        <v>46.198999999999998</v>
      </c>
      <c r="AI25" s="20">
        <v>0.114</v>
      </c>
      <c r="AJ25" s="20">
        <f>AF25-AH25</f>
        <v>-5.4999999999999716E-2</v>
      </c>
      <c r="AK25" s="20">
        <f>SQRT((AG25)^2 + (AI25)^2)</f>
        <v>0.12929423807734047</v>
      </c>
      <c r="AL25" s="20">
        <f>AK25^2</f>
        <v>1.6716999999999999E-2</v>
      </c>
      <c r="AM25" s="9">
        <v>-0.22</v>
      </c>
      <c r="AN25" s="20">
        <f>(AJ25-AM25)^2</f>
        <v>2.7225000000000093E-2</v>
      </c>
      <c r="AO25" s="20" t="s">
        <v>95</v>
      </c>
      <c r="AP25" s="11"/>
      <c r="AQ25" s="11"/>
      <c r="BA25" s="11"/>
      <c r="BB25" s="11"/>
      <c r="BC25" s="11"/>
      <c r="BD25" s="11"/>
      <c r="BE25" s="11"/>
      <c r="BF25" s="11"/>
      <c r="BG25" s="11"/>
      <c r="BH25" s="11"/>
      <c r="BI25" s="11"/>
      <c r="BJ25" s="11"/>
    </row>
    <row r="26" spans="10:62" ht="17">
      <c r="O26" s="11"/>
      <c r="P26" s="11"/>
      <c r="Q26" s="11"/>
      <c r="R26" s="11"/>
      <c r="S26" s="11"/>
      <c r="T26" s="11"/>
      <c r="U26" s="18" t="s">
        <v>67</v>
      </c>
      <c r="V26" s="18"/>
      <c r="W26" s="18" t="s">
        <v>67</v>
      </c>
      <c r="X26" s="11"/>
      <c r="AA26" s="15" t="s">
        <v>82</v>
      </c>
      <c r="AB26" s="1" t="s">
        <v>70</v>
      </c>
      <c r="AC26" s="16" t="s">
        <v>119</v>
      </c>
      <c r="AD26" s="16" t="s">
        <v>146</v>
      </c>
      <c r="AE26" s="1" t="s">
        <v>150</v>
      </c>
      <c r="AF26" s="1">
        <v>68.542000000000002</v>
      </c>
      <c r="AG26" s="1">
        <v>5.6000000000000001E-2</v>
      </c>
      <c r="AH26" s="20">
        <v>68.394000000000005</v>
      </c>
      <c r="AI26" s="20">
        <v>9.2999999999999999E-2</v>
      </c>
      <c r="AJ26" s="20">
        <f>AF26-AH26</f>
        <v>0.14799999999999613</v>
      </c>
      <c r="AK26" s="20">
        <f>SQRT((AG26)^2 + (AI26)^2)</f>
        <v>0.10855873986004075</v>
      </c>
      <c r="AL26" s="20">
        <f>AK26^2</f>
        <v>1.1785E-2</v>
      </c>
      <c r="AM26" s="9">
        <v>0.2</v>
      </c>
      <c r="AN26" s="20">
        <f>(AJ26-AM26)^2</f>
        <v>2.7040000000004031E-3</v>
      </c>
      <c r="AO26" s="20" t="s">
        <v>95</v>
      </c>
      <c r="AP26" s="11"/>
      <c r="AQ26" s="11"/>
      <c r="AV26" s="10" t="s">
        <v>112</v>
      </c>
      <c r="AW26" s="11"/>
      <c r="AX26" s="11"/>
      <c r="AY26" s="11"/>
      <c r="AZ26" s="11"/>
      <c r="BA26" s="11"/>
      <c r="BB26" s="11"/>
      <c r="BC26" s="11"/>
      <c r="BD26" s="11"/>
      <c r="BE26" s="11"/>
      <c r="BF26" s="11"/>
      <c r="BG26" s="11"/>
      <c r="BH26" s="11"/>
      <c r="BI26" s="11"/>
      <c r="BJ26" s="11"/>
    </row>
    <row r="27" spans="10:62">
      <c r="O27" s="11"/>
      <c r="P27" s="11"/>
      <c r="Q27" s="11"/>
      <c r="R27" s="11"/>
      <c r="S27" s="11"/>
      <c r="T27" s="11"/>
      <c r="U27" s="20">
        <f>SUM(U22:U25)</f>
        <v>0.17264999999999997</v>
      </c>
      <c r="V27" s="20"/>
      <c r="W27" s="20">
        <f>SUM(W22:W25)</f>
        <v>8.832317999999999</v>
      </c>
      <c r="X27" s="11"/>
      <c r="AA27" s="15" t="s">
        <v>101</v>
      </c>
      <c r="AB27" s="1" t="s">
        <v>70</v>
      </c>
      <c r="AC27" s="25" t="s">
        <v>120</v>
      </c>
      <c r="AD27" s="16" t="s">
        <v>147</v>
      </c>
      <c r="AE27" s="1" t="s">
        <v>151</v>
      </c>
      <c r="AF27" s="1">
        <v>-23.030999999999999</v>
      </c>
      <c r="AG27" s="1">
        <v>0.14299999999999999</v>
      </c>
      <c r="AH27" s="20">
        <v>-24.692</v>
      </c>
      <c r="AI27" s="20">
        <v>6.7000000000000004E-2</v>
      </c>
      <c r="AJ27" s="20">
        <f>AF27-AH27</f>
        <v>1.6610000000000014</v>
      </c>
      <c r="AK27" s="20">
        <f>SQRT((AG27)^2 + (AI27)^2)</f>
        <v>0.15791770008456935</v>
      </c>
      <c r="AL27" s="20">
        <f>AK27^2</f>
        <v>2.4937999999999991E-2</v>
      </c>
      <c r="AM27" s="9">
        <v>-0.87</v>
      </c>
      <c r="AN27" s="20">
        <f>(AJ27-AM27)^2</f>
        <v>6.4059610000000076</v>
      </c>
      <c r="AO27" s="20" t="s">
        <v>99</v>
      </c>
      <c r="AP27" s="11"/>
      <c r="AQ27" s="11"/>
      <c r="AV27" s="12" t="s">
        <v>30</v>
      </c>
      <c r="AW27" s="12" t="s">
        <v>31</v>
      </c>
      <c r="AX27" s="13" t="s">
        <v>32</v>
      </c>
      <c r="AY27" s="12" t="s">
        <v>33</v>
      </c>
      <c r="AZ27" s="12" t="s">
        <v>34</v>
      </c>
      <c r="BA27" s="12" t="s">
        <v>35</v>
      </c>
      <c r="BB27" s="12" t="s">
        <v>36</v>
      </c>
      <c r="BC27" s="12" t="s">
        <v>37</v>
      </c>
      <c r="BD27" s="12" t="s">
        <v>38</v>
      </c>
      <c r="BE27" s="12" t="s">
        <v>39</v>
      </c>
      <c r="BF27" s="14" t="s">
        <v>40</v>
      </c>
      <c r="BG27" s="12" t="s">
        <v>41</v>
      </c>
      <c r="BH27" s="12" t="s">
        <v>42</v>
      </c>
      <c r="BI27" s="12" t="s">
        <v>43</v>
      </c>
      <c r="BJ27" s="12" t="s">
        <v>44</v>
      </c>
    </row>
    <row r="28" spans="10:62">
      <c r="O28" s="11"/>
      <c r="P28" s="11"/>
      <c r="Q28" s="11"/>
      <c r="R28" s="11"/>
      <c r="S28" s="11"/>
      <c r="T28" s="11"/>
      <c r="U28" s="20"/>
      <c r="V28" s="20"/>
      <c r="W28" s="20"/>
      <c r="X28" s="11"/>
      <c r="AA28" s="15" t="s">
        <v>101</v>
      </c>
      <c r="AB28" s="1" t="s">
        <v>70</v>
      </c>
      <c r="AC28" s="25" t="s">
        <v>123</v>
      </c>
      <c r="AD28" s="24" t="s">
        <v>148</v>
      </c>
      <c r="AE28" s="1" t="s">
        <v>152</v>
      </c>
      <c r="AF28" s="1">
        <v>-22.321000000000002</v>
      </c>
      <c r="AG28" s="1">
        <v>0.113</v>
      </c>
      <c r="AH28" s="20">
        <v>-24.713999999999999</v>
      </c>
      <c r="AI28" s="20">
        <v>0.24</v>
      </c>
      <c r="AJ28" s="20">
        <f>AF28-AH28</f>
        <v>2.3929999999999971</v>
      </c>
      <c r="AK28" s="20">
        <f>SQRT((AG28)^2 + (AI28)^2)</f>
        <v>0.26527155897306443</v>
      </c>
      <c r="AL28" s="20">
        <f>AK28^2</f>
        <v>7.0369000000000001E-2</v>
      </c>
      <c r="AM28" s="9">
        <v>0.83</v>
      </c>
      <c r="AN28" s="20">
        <f>(AJ28-AM28)^2</f>
        <v>2.4429689999999908</v>
      </c>
      <c r="AO28" s="20" t="s">
        <v>99</v>
      </c>
      <c r="AP28" s="11"/>
      <c r="AQ28" s="11"/>
      <c r="AV28" s="15" t="s">
        <v>101</v>
      </c>
      <c r="AW28" s="1" t="s">
        <v>70</v>
      </c>
      <c r="AX28" s="16" t="s">
        <v>4</v>
      </c>
      <c r="AY28" s="16" t="s">
        <v>145</v>
      </c>
      <c r="AZ28" s="1" t="s">
        <v>149</v>
      </c>
      <c r="BA28" s="1">
        <v>46.195999999999998</v>
      </c>
      <c r="BB28" s="1">
        <v>6.7000000000000004E-2</v>
      </c>
      <c r="BC28" s="1">
        <v>46.012999999999998</v>
      </c>
      <c r="BD28" s="1">
        <v>6.4000000000000001E-2</v>
      </c>
      <c r="BE28" s="1">
        <f>BA28-BC28</f>
        <v>0.18299999999999983</v>
      </c>
      <c r="BF28" s="1">
        <f>SQRT((BB28)^2 + (BD28)^2)</f>
        <v>9.2655275079188026E-2</v>
      </c>
      <c r="BG28" s="1">
        <f>BF28^2</f>
        <v>8.5850000000000024E-3</v>
      </c>
      <c r="BH28" s="16">
        <v>-0.22</v>
      </c>
      <c r="BI28" s="1">
        <f>(BE28-BH28)^2</f>
        <v>0.16240899999999983</v>
      </c>
      <c r="BJ28" s="20" t="s">
        <v>99</v>
      </c>
    </row>
    <row r="29" spans="10:62">
      <c r="O29" s="11"/>
      <c r="P29" s="11"/>
      <c r="Q29" s="11"/>
      <c r="R29" s="11"/>
      <c r="S29" s="11"/>
      <c r="T29" s="11"/>
      <c r="U29" s="20"/>
      <c r="V29" s="19" t="s">
        <v>68</v>
      </c>
      <c r="W29" s="20">
        <f>SQRT(W27/4)</f>
        <v>1.4859608002905056</v>
      </c>
      <c r="X29" s="11"/>
      <c r="AF29" s="11"/>
      <c r="AG29" s="11"/>
      <c r="AH29" s="11"/>
      <c r="AI29" s="11"/>
      <c r="AJ29" s="11"/>
      <c r="AK29" s="11"/>
      <c r="AL29" s="18" t="s">
        <v>67</v>
      </c>
      <c r="AM29" s="18"/>
      <c r="AN29" s="18" t="s">
        <v>67</v>
      </c>
      <c r="AO29" s="11"/>
      <c r="AP29" s="11"/>
      <c r="AQ29" s="11"/>
      <c r="AV29" s="15" t="s">
        <v>101</v>
      </c>
      <c r="AW29" s="20" t="s">
        <v>70</v>
      </c>
      <c r="AX29" s="16" t="s">
        <v>119</v>
      </c>
      <c r="AY29" s="16" t="s">
        <v>146</v>
      </c>
      <c r="AZ29" s="1" t="s">
        <v>150</v>
      </c>
      <c r="BA29" s="1">
        <v>68.662999999999997</v>
      </c>
      <c r="BB29" s="1">
        <v>6.7000000000000004E-2</v>
      </c>
      <c r="BC29" s="1">
        <v>68.444000000000003</v>
      </c>
      <c r="BD29" s="1">
        <v>5.8000000000000003E-2</v>
      </c>
      <c r="BE29" s="1">
        <f>BA29-BC29</f>
        <v>0.21899999999999409</v>
      </c>
      <c r="BF29" s="1">
        <f>SQRT((BB29)^2 + (BD29)^2)</f>
        <v>8.8617154095581296E-2</v>
      </c>
      <c r="BG29" s="1">
        <f>BF29^2</f>
        <v>7.8530000000000006E-3</v>
      </c>
      <c r="BH29" s="16">
        <v>0.2</v>
      </c>
      <c r="BI29" s="1">
        <f>(BE29-BH29)^2</f>
        <v>3.6099999999977491E-4</v>
      </c>
      <c r="BJ29" s="20" t="s">
        <v>99</v>
      </c>
    </row>
    <row r="30" spans="10:62">
      <c r="O30" s="11"/>
      <c r="P30" s="11"/>
      <c r="Q30" s="11"/>
      <c r="R30" s="11"/>
      <c r="S30" s="11"/>
      <c r="T30" s="11"/>
      <c r="U30" s="20"/>
      <c r="V30" s="19" t="s">
        <v>40</v>
      </c>
      <c r="W30" s="20">
        <f>SQRT(U27/4)</f>
        <v>0.20775586634316728</v>
      </c>
      <c r="X30" s="11"/>
      <c r="AF30" s="11"/>
      <c r="AG30" s="11"/>
      <c r="AH30" s="11"/>
      <c r="AI30" s="11"/>
      <c r="AJ30" s="11"/>
      <c r="AK30" s="11"/>
      <c r="AL30" s="20">
        <f>SUM(AL25:AL28)</f>
        <v>0.12380899999999999</v>
      </c>
      <c r="AM30" s="20"/>
      <c r="AN30" s="20">
        <f>SUM(AN25:AN28)</f>
        <v>8.8788589999999985</v>
      </c>
      <c r="AO30" s="11"/>
      <c r="AP30" s="11"/>
      <c r="AQ30" s="11"/>
      <c r="AV30" s="15" t="s">
        <v>101</v>
      </c>
      <c r="AW30" s="1" t="s">
        <v>70</v>
      </c>
      <c r="AX30" s="23" t="s">
        <v>120</v>
      </c>
      <c r="AY30" s="16" t="s">
        <v>147</v>
      </c>
      <c r="AZ30" s="1" t="s">
        <v>151</v>
      </c>
      <c r="BA30" s="1">
        <v>-23.030999999999999</v>
      </c>
      <c r="BB30" s="1">
        <v>0.14299999999999999</v>
      </c>
      <c r="BC30" s="1">
        <v>-24.692</v>
      </c>
      <c r="BD30" s="1">
        <v>6.7000000000000004E-2</v>
      </c>
      <c r="BE30" s="1">
        <f>BA30-BC30</f>
        <v>1.6610000000000014</v>
      </c>
      <c r="BF30" s="1">
        <f>SQRT((BB30)^2 + (BD30)^2)</f>
        <v>0.15791770008456935</v>
      </c>
      <c r="BG30" s="1">
        <f>BF30^2</f>
        <v>2.4937999999999991E-2</v>
      </c>
      <c r="BH30" s="16">
        <v>-0.87</v>
      </c>
      <c r="BI30" s="1">
        <f>(BE30-BH30)^2</f>
        <v>6.4059610000000076</v>
      </c>
      <c r="BJ30" s="20" t="s">
        <v>99</v>
      </c>
    </row>
    <row r="31" spans="10:62">
      <c r="O31" s="11"/>
      <c r="P31" s="11"/>
      <c r="Q31" s="11"/>
      <c r="R31" s="11"/>
      <c r="S31" s="11"/>
      <c r="T31" s="11"/>
      <c r="U31" s="11"/>
      <c r="V31" s="11"/>
      <c r="W31" s="11"/>
      <c r="X31" s="11"/>
      <c r="AF31" s="11"/>
      <c r="AG31" s="11"/>
      <c r="AH31" s="11"/>
      <c r="AI31" s="11"/>
      <c r="AJ31" s="11"/>
      <c r="AK31" s="11"/>
      <c r="AL31" s="20"/>
      <c r="AM31" s="20"/>
      <c r="AN31" s="20"/>
      <c r="AO31" s="11"/>
      <c r="AP31" s="11"/>
      <c r="AQ31" s="11"/>
      <c r="AV31" s="15" t="s">
        <v>101</v>
      </c>
      <c r="AW31" s="1" t="s">
        <v>70</v>
      </c>
      <c r="AX31" s="23" t="s">
        <v>123</v>
      </c>
      <c r="AY31" s="24" t="s">
        <v>148</v>
      </c>
      <c r="AZ31" s="1" t="s">
        <v>152</v>
      </c>
      <c r="BA31" s="1">
        <v>-22.321000000000002</v>
      </c>
      <c r="BB31" s="1">
        <v>0.113</v>
      </c>
      <c r="BC31" s="1">
        <v>-24.713999999999999</v>
      </c>
      <c r="BD31" s="1">
        <v>0.24</v>
      </c>
      <c r="BE31" s="1">
        <f>BA31-BC31</f>
        <v>2.3929999999999971</v>
      </c>
      <c r="BF31" s="1">
        <f>SQRT((BB31)^2 + (BD31)^2)</f>
        <v>0.26527155897306443</v>
      </c>
      <c r="BG31" s="1">
        <f>BF31^2</f>
        <v>7.0369000000000001E-2</v>
      </c>
      <c r="BH31" s="16">
        <v>0.83</v>
      </c>
      <c r="BI31" s="1">
        <f>(BE31-BH31)^2</f>
        <v>2.4429689999999908</v>
      </c>
      <c r="BJ31" s="20" t="s">
        <v>99</v>
      </c>
    </row>
    <row r="32" spans="10:62">
      <c r="O32" s="11"/>
      <c r="P32" s="11"/>
      <c r="Q32" s="11"/>
      <c r="R32" s="11"/>
      <c r="S32" s="11"/>
      <c r="T32" s="11"/>
      <c r="U32" s="11"/>
      <c r="V32" s="11"/>
      <c r="W32" s="11"/>
      <c r="X32" s="11"/>
      <c r="AF32" s="11"/>
      <c r="AG32" s="11"/>
      <c r="AH32" s="11"/>
      <c r="AI32" s="11"/>
      <c r="AJ32" s="11"/>
      <c r="AK32" s="11"/>
      <c r="AL32" s="20"/>
      <c r="AM32" s="19" t="s">
        <v>68</v>
      </c>
      <c r="AN32" s="20">
        <f>SQRT(AN30/4)</f>
        <v>1.4898707158676552</v>
      </c>
      <c r="AO32" s="11"/>
      <c r="AP32" s="11"/>
      <c r="AQ32" s="11"/>
      <c r="BA32" s="11"/>
      <c r="BB32" s="11"/>
      <c r="BC32" s="11"/>
      <c r="BD32" s="11"/>
      <c r="BE32" s="11"/>
      <c r="BF32" s="11"/>
      <c r="BG32" s="18" t="s">
        <v>67</v>
      </c>
      <c r="BH32" s="18"/>
      <c r="BI32" s="18" t="s">
        <v>67</v>
      </c>
      <c r="BJ32" s="11"/>
    </row>
    <row r="33" spans="10:62" ht="17">
      <c r="J33" s="10" t="s">
        <v>79</v>
      </c>
      <c r="O33" s="11"/>
      <c r="P33" s="11"/>
      <c r="Q33" s="11"/>
      <c r="R33" s="11"/>
      <c r="S33" s="11"/>
      <c r="T33" s="11"/>
      <c r="U33" s="11"/>
      <c r="V33" s="11"/>
      <c r="W33" s="11"/>
      <c r="X33" s="11"/>
      <c r="AF33" s="11"/>
      <c r="AG33" s="11"/>
      <c r="AH33" s="11"/>
      <c r="AI33" s="11"/>
      <c r="AJ33" s="11"/>
      <c r="AK33" s="11"/>
      <c r="AL33" s="20"/>
      <c r="AM33" s="19" t="s">
        <v>40</v>
      </c>
      <c r="AN33" s="20">
        <f>SQRT(AL30/4)</f>
        <v>0.1759325154711317</v>
      </c>
      <c r="AO33" s="11"/>
      <c r="AP33" s="11"/>
      <c r="AQ33" s="11"/>
      <c r="BA33" s="11"/>
      <c r="BB33" s="11"/>
      <c r="BC33" s="11"/>
      <c r="BD33" s="11"/>
      <c r="BE33" s="11"/>
      <c r="BF33" s="11"/>
      <c r="BG33" s="11">
        <f>SUM(BG28:BG31)</f>
        <v>0.111745</v>
      </c>
      <c r="BH33" s="11"/>
      <c r="BI33" s="11">
        <f>SUM(BI28:BI31)</f>
        <v>9.0116999999999976</v>
      </c>
      <c r="BJ33" s="11"/>
    </row>
    <row r="34" spans="10:62">
      <c r="J34" s="12" t="s">
        <v>30</v>
      </c>
      <c r="K34" s="12" t="s">
        <v>31</v>
      </c>
      <c r="L34" s="13" t="s">
        <v>32</v>
      </c>
      <c r="M34" s="12" t="s">
        <v>33</v>
      </c>
      <c r="N34" s="12" t="s">
        <v>34</v>
      </c>
      <c r="O34" s="12" t="s">
        <v>35</v>
      </c>
      <c r="P34" s="12" t="s">
        <v>36</v>
      </c>
      <c r="Q34" s="12" t="s">
        <v>37</v>
      </c>
      <c r="R34" s="12" t="s">
        <v>38</v>
      </c>
      <c r="S34" s="12" t="s">
        <v>39</v>
      </c>
      <c r="T34" s="14" t="s">
        <v>40</v>
      </c>
      <c r="U34" s="12" t="s">
        <v>41</v>
      </c>
      <c r="V34" s="12" t="s">
        <v>42</v>
      </c>
      <c r="W34" s="12" t="s">
        <v>43</v>
      </c>
      <c r="X34" s="11"/>
      <c r="AF34" s="11"/>
      <c r="AG34" s="11"/>
      <c r="AH34" s="11"/>
      <c r="AI34" s="11"/>
      <c r="AJ34" s="11"/>
      <c r="AK34" s="11"/>
      <c r="AL34" s="11"/>
      <c r="AM34" s="11"/>
      <c r="AN34" s="11"/>
      <c r="AO34" s="11"/>
      <c r="AP34" s="11"/>
      <c r="AQ34" s="11"/>
      <c r="BA34" s="11"/>
      <c r="BB34" s="11"/>
      <c r="BC34" s="11"/>
      <c r="BD34" s="11"/>
      <c r="BE34" s="11"/>
      <c r="BF34" s="11"/>
      <c r="BG34" s="11"/>
      <c r="BH34" s="11"/>
      <c r="BI34" s="11"/>
      <c r="BJ34" s="11"/>
    </row>
    <row r="35" spans="10:62">
      <c r="J35" s="26" t="s">
        <v>45</v>
      </c>
      <c r="K35" s="26" t="s">
        <v>46</v>
      </c>
      <c r="L35" s="9" t="s">
        <v>121</v>
      </c>
      <c r="M35" s="8" t="s">
        <v>122</v>
      </c>
      <c r="N35" s="11" t="s">
        <v>140</v>
      </c>
      <c r="O35" s="20">
        <v>4.8090000000000002</v>
      </c>
      <c r="P35" s="20">
        <v>0.26900000000000002</v>
      </c>
      <c r="Q35" s="20">
        <v>6.4260000000000002</v>
      </c>
      <c r="R35" s="20">
        <v>4.2000000000000003E-2</v>
      </c>
      <c r="S35" s="20">
        <f>O35-Q35</f>
        <v>-1.617</v>
      </c>
      <c r="T35" s="20">
        <f>SQRT((P35)^2 + (R35)^2)</f>
        <v>0.27225906780123965</v>
      </c>
      <c r="U35" s="20">
        <f>T35^2</f>
        <v>7.412500000000001E-2</v>
      </c>
      <c r="V35" s="9">
        <v>0.05</v>
      </c>
      <c r="W35" s="20">
        <f>(S35-V35)^2</f>
        <v>2.7788889999999999</v>
      </c>
      <c r="X35" s="11"/>
      <c r="AF35" s="11"/>
      <c r="AG35" s="11"/>
      <c r="AH35" s="11"/>
      <c r="AI35" s="11"/>
      <c r="AJ35" s="11"/>
      <c r="AK35" s="11"/>
      <c r="AL35" s="11"/>
      <c r="AM35" s="11"/>
      <c r="AN35" s="11"/>
      <c r="AO35" s="11"/>
      <c r="AP35" s="11"/>
      <c r="AQ35" s="11"/>
      <c r="BA35" s="11"/>
      <c r="BB35" s="11"/>
      <c r="BC35" s="11"/>
      <c r="BD35" s="11"/>
      <c r="BE35" s="11"/>
      <c r="BF35" s="11"/>
      <c r="BG35" s="11"/>
      <c r="BH35" s="19" t="s">
        <v>68</v>
      </c>
      <c r="BI35" s="11">
        <f>SQRT(BI33/4)</f>
        <v>1.5009746833308013</v>
      </c>
      <c r="BJ35" s="11"/>
    </row>
    <row r="36" spans="10:62" ht="17">
      <c r="J36" s="26" t="s">
        <v>45</v>
      </c>
      <c r="K36" s="26" t="s">
        <v>46</v>
      </c>
      <c r="L36" s="9" t="s">
        <v>126</v>
      </c>
      <c r="M36" s="8" t="s">
        <v>50</v>
      </c>
      <c r="N36" s="11" t="s">
        <v>59</v>
      </c>
      <c r="O36" s="20">
        <v>14.904</v>
      </c>
      <c r="P36" s="20">
        <v>0.217</v>
      </c>
      <c r="Q36" s="20">
        <v>12.847</v>
      </c>
      <c r="R36" s="20">
        <v>0.21199999999999999</v>
      </c>
      <c r="S36" s="20">
        <f t="shared" ref="S36:S44" si="12">O36-Q36</f>
        <v>2.0570000000000004</v>
      </c>
      <c r="T36" s="20">
        <f t="shared" ref="T36:T44" si="13">SQRT((P36)^2 + (R36)^2)</f>
        <v>0.30336941177383064</v>
      </c>
      <c r="U36" s="20">
        <f t="shared" ref="U36:U44" si="14">T36^2</f>
        <v>9.2033000000000018E-2</v>
      </c>
      <c r="V36" s="9">
        <v>0.35</v>
      </c>
      <c r="W36" s="20">
        <f t="shared" ref="W36:W44" si="15">(S36-V36)^2</f>
        <v>2.9138490000000008</v>
      </c>
      <c r="X36" s="11"/>
      <c r="AA36" s="10" t="s">
        <v>156</v>
      </c>
      <c r="AB36" s="11"/>
      <c r="AC36" s="11"/>
      <c r="AD36" s="11"/>
      <c r="AE36" s="11"/>
      <c r="AF36" s="11"/>
      <c r="AG36" s="11"/>
      <c r="AH36" s="11"/>
      <c r="AI36" s="11"/>
      <c r="AJ36" s="11"/>
      <c r="AK36" s="11"/>
      <c r="AL36" s="11"/>
      <c r="AM36" s="11"/>
      <c r="AN36" s="11"/>
      <c r="AO36" s="11"/>
      <c r="AP36" s="11"/>
      <c r="AQ36" s="11"/>
      <c r="BA36" s="11"/>
      <c r="BB36" s="11"/>
      <c r="BC36" s="11"/>
      <c r="BD36" s="11"/>
      <c r="BE36" s="11"/>
      <c r="BF36" s="11"/>
      <c r="BG36" s="11"/>
      <c r="BH36" s="19" t="s">
        <v>40</v>
      </c>
      <c r="BI36" s="11">
        <f>SQRT(BG33/4)</f>
        <v>0.16714140719761814</v>
      </c>
      <c r="BJ36" s="11"/>
    </row>
    <row r="37" spans="10:62">
      <c r="J37" s="26" t="s">
        <v>45</v>
      </c>
      <c r="K37" s="26" t="s">
        <v>46</v>
      </c>
      <c r="L37" s="9" t="s">
        <v>127</v>
      </c>
      <c r="M37" s="8" t="s">
        <v>51</v>
      </c>
      <c r="N37" s="11" t="s">
        <v>60</v>
      </c>
      <c r="O37" s="20">
        <v>-5.4009999999999998</v>
      </c>
      <c r="P37" s="20">
        <v>0.26500000000000001</v>
      </c>
      <c r="Q37" s="20">
        <v>-5.7939999999999996</v>
      </c>
      <c r="R37" s="20">
        <v>8.1000000000000003E-2</v>
      </c>
      <c r="S37" s="20">
        <f t="shared" si="12"/>
        <v>0.39299999999999979</v>
      </c>
      <c r="T37" s="20">
        <f t="shared" si="13"/>
        <v>0.27710286898550873</v>
      </c>
      <c r="U37" s="20">
        <f t="shared" si="14"/>
        <v>7.6786000000000021E-2</v>
      </c>
      <c r="V37" s="9">
        <v>1.25</v>
      </c>
      <c r="W37" s="20">
        <f t="shared" si="15"/>
        <v>0.73444900000000035</v>
      </c>
      <c r="X37" s="11"/>
      <c r="AA37" s="12" t="s">
        <v>30</v>
      </c>
      <c r="AB37" s="12" t="s">
        <v>31</v>
      </c>
      <c r="AC37" s="13" t="s">
        <v>32</v>
      </c>
      <c r="AD37" s="12" t="s">
        <v>33</v>
      </c>
      <c r="AE37" s="12" t="s">
        <v>34</v>
      </c>
      <c r="AF37" s="12" t="s">
        <v>35</v>
      </c>
      <c r="AG37" s="12" t="s">
        <v>36</v>
      </c>
      <c r="AH37" s="12" t="s">
        <v>37</v>
      </c>
      <c r="AI37" s="12" t="s">
        <v>38</v>
      </c>
      <c r="AJ37" s="12" t="s">
        <v>39</v>
      </c>
      <c r="AK37" s="14" t="s">
        <v>40</v>
      </c>
      <c r="AL37" s="12" t="s">
        <v>41</v>
      </c>
      <c r="AM37" s="12" t="s">
        <v>42</v>
      </c>
      <c r="AN37" s="12" t="s">
        <v>43</v>
      </c>
      <c r="AO37" s="11"/>
      <c r="AP37" s="11"/>
      <c r="AQ37" s="11"/>
      <c r="BA37" s="11"/>
      <c r="BB37" s="11"/>
      <c r="BC37" s="11"/>
      <c r="BD37" s="11"/>
      <c r="BE37" s="11"/>
      <c r="BF37" s="11"/>
      <c r="BG37" s="11"/>
      <c r="BH37" s="11"/>
      <c r="BI37" s="11"/>
      <c r="BJ37" s="11"/>
    </row>
    <row r="38" spans="10:62" ht="17">
      <c r="J38" s="26" t="s">
        <v>45</v>
      </c>
      <c r="K38" s="26" t="s">
        <v>46</v>
      </c>
      <c r="L38" s="9" t="s">
        <v>128</v>
      </c>
      <c r="M38" s="8" t="s">
        <v>129</v>
      </c>
      <c r="N38" s="11" t="s">
        <v>61</v>
      </c>
      <c r="O38" s="20">
        <v>-5.0679999999999996</v>
      </c>
      <c r="P38" s="20">
        <v>0.16200000000000001</v>
      </c>
      <c r="Q38" s="20">
        <v>-6.867</v>
      </c>
      <c r="R38" s="20">
        <v>3.4000000000000002E-2</v>
      </c>
      <c r="S38" s="20">
        <f t="shared" si="12"/>
        <v>1.7990000000000004</v>
      </c>
      <c r="T38" s="20">
        <f t="shared" si="13"/>
        <v>0.16552945357246848</v>
      </c>
      <c r="U38" s="20">
        <f t="shared" si="14"/>
        <v>2.7399999999999997E-2</v>
      </c>
      <c r="V38" s="9">
        <v>1.1499999999999999</v>
      </c>
      <c r="W38" s="20">
        <f t="shared" si="15"/>
        <v>0.4212010000000006</v>
      </c>
      <c r="AA38" s="26" t="s">
        <v>101</v>
      </c>
      <c r="AB38" s="26" t="s">
        <v>46</v>
      </c>
      <c r="AC38" s="25" t="s">
        <v>9</v>
      </c>
      <c r="AD38" s="3" t="s">
        <v>83</v>
      </c>
      <c r="AE38" s="1" t="s">
        <v>89</v>
      </c>
      <c r="AF38" s="20">
        <v>-32.768000000000001</v>
      </c>
      <c r="AG38" s="20">
        <v>0.253</v>
      </c>
      <c r="AH38" s="20">
        <v>-37.600999999999999</v>
      </c>
      <c r="AI38" s="20">
        <v>0.17</v>
      </c>
      <c r="AJ38" s="20">
        <f>AF38-AH38</f>
        <v>4.8329999999999984</v>
      </c>
      <c r="AK38" s="20">
        <f>SQRT((AG38)^2 + (AI38)^2)</f>
        <v>0.304809776746088</v>
      </c>
      <c r="AL38" s="20">
        <f>AK38^2</f>
        <v>9.2909000000000005E-2</v>
      </c>
      <c r="AM38" s="9">
        <v>1.48</v>
      </c>
      <c r="AN38" s="20">
        <f>(AJ38-AM38)^2</f>
        <v>11.242608999999989</v>
      </c>
      <c r="AO38" s="11"/>
      <c r="AP38" s="11"/>
      <c r="AQ38" s="11"/>
      <c r="AV38" s="10" t="s">
        <v>113</v>
      </c>
      <c r="BA38" s="11"/>
      <c r="BB38" s="11"/>
      <c r="BC38" s="11"/>
      <c r="BD38" s="11"/>
      <c r="BE38" s="11"/>
      <c r="BF38" s="11"/>
      <c r="BG38" s="11"/>
      <c r="BH38" s="11"/>
      <c r="BI38" s="11"/>
      <c r="BJ38" s="11"/>
    </row>
    <row r="39" spans="10:62">
      <c r="J39" s="26" t="s">
        <v>45</v>
      </c>
      <c r="K39" s="26" t="s">
        <v>46</v>
      </c>
      <c r="L39" s="9" t="s">
        <v>130</v>
      </c>
      <c r="M39" s="8" t="s">
        <v>85</v>
      </c>
      <c r="N39" s="11" t="s">
        <v>91</v>
      </c>
      <c r="O39" s="20">
        <v>-4.9720000000000004</v>
      </c>
      <c r="P39" s="20">
        <v>0.23300000000000001</v>
      </c>
      <c r="Q39" s="20">
        <v>-5.3529999999999998</v>
      </c>
      <c r="R39" s="20">
        <v>0.22600000000000001</v>
      </c>
      <c r="S39" s="20">
        <f t="shared" si="12"/>
        <v>0.38099999999999934</v>
      </c>
      <c r="T39" s="20">
        <f t="shared" si="13"/>
        <v>0.32459975354272841</v>
      </c>
      <c r="U39" s="20">
        <f t="shared" si="14"/>
        <v>0.10536500000000003</v>
      </c>
      <c r="V39" s="9">
        <v>0.86</v>
      </c>
      <c r="W39" s="20">
        <f t="shared" si="15"/>
        <v>0.22944100000000062</v>
      </c>
      <c r="AA39" s="26" t="s">
        <v>101</v>
      </c>
      <c r="AB39" s="26" t="s">
        <v>46</v>
      </c>
      <c r="AC39" s="16" t="s">
        <v>11</v>
      </c>
      <c r="AD39" s="3" t="s">
        <v>84</v>
      </c>
      <c r="AE39" s="1" t="s">
        <v>90</v>
      </c>
      <c r="AF39" s="20">
        <v>-40.853999999999999</v>
      </c>
      <c r="AG39" s="20">
        <v>0.308</v>
      </c>
      <c r="AH39" s="20">
        <v>-42.293999999999997</v>
      </c>
      <c r="AI39" s="20">
        <v>9.8000000000000004E-2</v>
      </c>
      <c r="AJ39" s="20">
        <f t="shared" ref="AJ39:AJ50" si="16">AF39-AH39</f>
        <v>1.4399999999999977</v>
      </c>
      <c r="AK39" s="20">
        <f t="shared" ref="AK39:AK50" si="17">SQRT((AG39)^2 + (AI39)^2)</f>
        <v>0.32321509865722547</v>
      </c>
      <c r="AL39" s="20">
        <f t="shared" ref="AL39:AL50" si="18">AK39^2</f>
        <v>0.10446799999999999</v>
      </c>
      <c r="AM39" s="9">
        <v>1.33</v>
      </c>
      <c r="AN39" s="20">
        <f t="shared" ref="AN39:AN50" si="19">(AJ39-AM39)^2</f>
        <v>1.2099999999999484E-2</v>
      </c>
      <c r="AO39" s="11"/>
      <c r="AP39" s="11"/>
      <c r="AQ39" s="11"/>
      <c r="AV39" s="12" t="s">
        <v>30</v>
      </c>
      <c r="AW39" s="12" t="s">
        <v>31</v>
      </c>
      <c r="AX39" s="13" t="s">
        <v>32</v>
      </c>
      <c r="AY39" s="12" t="s">
        <v>33</v>
      </c>
      <c r="AZ39" s="12" t="s">
        <v>34</v>
      </c>
      <c r="BA39" s="12" t="s">
        <v>35</v>
      </c>
      <c r="BB39" s="12" t="s">
        <v>36</v>
      </c>
      <c r="BC39" s="12" t="s">
        <v>37</v>
      </c>
      <c r="BD39" s="12" t="s">
        <v>38</v>
      </c>
      <c r="BE39" s="12" t="s">
        <v>39</v>
      </c>
      <c r="BF39" s="14" t="s">
        <v>40</v>
      </c>
      <c r="BG39" s="12" t="s">
        <v>41</v>
      </c>
      <c r="BH39" s="12" t="s">
        <v>42</v>
      </c>
      <c r="BI39" s="12" t="s">
        <v>43</v>
      </c>
      <c r="BJ39" s="11"/>
    </row>
    <row r="40" spans="10:62">
      <c r="J40" s="26" t="s">
        <v>45</v>
      </c>
      <c r="K40" s="26" t="s">
        <v>46</v>
      </c>
      <c r="L40" s="9" t="s">
        <v>131</v>
      </c>
      <c r="M40" s="8" t="s">
        <v>132</v>
      </c>
      <c r="N40" s="11" t="s">
        <v>141</v>
      </c>
      <c r="O40" s="20">
        <v>47.298000000000002</v>
      </c>
      <c r="P40" s="20">
        <v>0.318</v>
      </c>
      <c r="Q40" s="20">
        <v>46.334000000000003</v>
      </c>
      <c r="R40" s="20">
        <v>2.7E-2</v>
      </c>
      <c r="S40" s="20">
        <f t="shared" si="12"/>
        <v>0.96399999999999864</v>
      </c>
      <c r="T40" s="20">
        <f t="shared" si="13"/>
        <v>0.31914416804948825</v>
      </c>
      <c r="U40" s="20">
        <f t="shared" si="14"/>
        <v>0.101853</v>
      </c>
      <c r="V40" s="9">
        <v>1.1100000000000001</v>
      </c>
      <c r="W40" s="20">
        <f t="shared" si="15"/>
        <v>2.1316000000000428E-2</v>
      </c>
      <c r="AA40" s="26" t="s">
        <v>82</v>
      </c>
      <c r="AB40" s="26" t="s">
        <v>46</v>
      </c>
      <c r="AC40" s="16" t="s">
        <v>121</v>
      </c>
      <c r="AD40" s="3" t="s">
        <v>122</v>
      </c>
      <c r="AE40" s="1" t="s">
        <v>140</v>
      </c>
      <c r="AF40" s="20">
        <v>5.5069999999999997</v>
      </c>
      <c r="AG40" s="20">
        <v>0.38500000000000001</v>
      </c>
      <c r="AH40" s="20">
        <v>6.383</v>
      </c>
      <c r="AI40" s="20">
        <v>0.16400000000000001</v>
      </c>
      <c r="AJ40" s="20">
        <f t="shared" si="16"/>
        <v>-0.87600000000000033</v>
      </c>
      <c r="AK40" s="20">
        <f t="shared" si="17"/>
        <v>0.41847461093834593</v>
      </c>
      <c r="AL40" s="20">
        <f t="shared" si="18"/>
        <v>0.175121</v>
      </c>
      <c r="AM40" s="9">
        <v>0.05</v>
      </c>
      <c r="AN40" s="20">
        <f t="shared" si="19"/>
        <v>0.85747600000000068</v>
      </c>
      <c r="AO40" s="11"/>
      <c r="AP40" s="11"/>
      <c r="AQ40" s="11"/>
      <c r="AV40" s="26" t="s">
        <v>101</v>
      </c>
      <c r="AW40" s="26" t="s">
        <v>46</v>
      </c>
      <c r="AX40" s="27" t="s">
        <v>9</v>
      </c>
      <c r="AY40" s="8" t="s">
        <v>83</v>
      </c>
      <c r="AZ40" s="20" t="s">
        <v>89</v>
      </c>
      <c r="BA40" s="20">
        <v>-32.768000000000001</v>
      </c>
      <c r="BB40" s="20">
        <v>0.253</v>
      </c>
      <c r="BC40" s="20">
        <v>-37.600999999999999</v>
      </c>
      <c r="BD40" s="20">
        <v>0.17</v>
      </c>
      <c r="BE40" s="20">
        <f>BA40-BC40</f>
        <v>4.8329999999999984</v>
      </c>
      <c r="BF40" s="20">
        <f>SQRT((BB40)^2 + (BD40)^2)</f>
        <v>0.304809776746088</v>
      </c>
      <c r="BG40" s="20">
        <f>BF40^2</f>
        <v>9.2909000000000005E-2</v>
      </c>
      <c r="BH40" s="9">
        <v>1.48</v>
      </c>
      <c r="BI40" s="20">
        <f>(BE40-BH40)^2</f>
        <v>11.242608999999989</v>
      </c>
      <c r="BJ40" s="11"/>
    </row>
    <row r="41" spans="10:62">
      <c r="J41" s="26" t="s">
        <v>45</v>
      </c>
      <c r="K41" s="26" t="s">
        <v>46</v>
      </c>
      <c r="L41" s="9" t="s">
        <v>133</v>
      </c>
      <c r="M41" s="8" t="s">
        <v>53</v>
      </c>
      <c r="N41" s="11" t="s">
        <v>62</v>
      </c>
      <c r="O41" s="20">
        <v>47.186</v>
      </c>
      <c r="P41" s="20">
        <v>0.23499999999999999</v>
      </c>
      <c r="Q41" s="20">
        <v>45.956000000000003</v>
      </c>
      <c r="R41" s="20">
        <v>6.5000000000000002E-2</v>
      </c>
      <c r="S41" s="20">
        <f t="shared" si="12"/>
        <v>1.2299999999999969</v>
      </c>
      <c r="T41" s="20">
        <f t="shared" si="13"/>
        <v>0.24382370680473217</v>
      </c>
      <c r="U41" s="20">
        <f t="shared" si="14"/>
        <v>5.9449999999999996E-2</v>
      </c>
      <c r="V41" s="9">
        <v>0.55000000000000004</v>
      </c>
      <c r="W41" s="20">
        <f t="shared" si="15"/>
        <v>0.4623999999999957</v>
      </c>
      <c r="AA41" s="26" t="s">
        <v>101</v>
      </c>
      <c r="AB41" s="26" t="s">
        <v>46</v>
      </c>
      <c r="AC41" s="16" t="s">
        <v>124</v>
      </c>
      <c r="AD41" s="3" t="s">
        <v>125</v>
      </c>
      <c r="AE41" s="1" t="s">
        <v>58</v>
      </c>
      <c r="AF41" s="20">
        <v>-39.872999999999998</v>
      </c>
      <c r="AG41" s="20">
        <v>0.33900000000000002</v>
      </c>
      <c r="AH41" s="20">
        <v>-42.363</v>
      </c>
      <c r="AI41" s="20">
        <v>4.7E-2</v>
      </c>
      <c r="AJ41" s="20">
        <f t="shared" si="16"/>
        <v>2.490000000000002</v>
      </c>
      <c r="AK41" s="20">
        <f t="shared" si="17"/>
        <v>0.34224260401066375</v>
      </c>
      <c r="AL41" s="20">
        <f t="shared" si="18"/>
        <v>0.11713</v>
      </c>
      <c r="AM41" s="9">
        <v>0.76</v>
      </c>
      <c r="AN41" s="20">
        <f t="shared" si="19"/>
        <v>2.9929000000000068</v>
      </c>
      <c r="AO41" s="11"/>
      <c r="AP41" s="11"/>
      <c r="AQ41" s="11"/>
      <c r="AV41" s="26" t="s">
        <v>101</v>
      </c>
      <c r="AW41" s="26" t="s">
        <v>46</v>
      </c>
      <c r="AX41" s="9" t="s">
        <v>11</v>
      </c>
      <c r="AY41" s="8" t="s">
        <v>84</v>
      </c>
      <c r="AZ41" s="20" t="s">
        <v>90</v>
      </c>
      <c r="BA41" s="20">
        <v>-40.853999999999999</v>
      </c>
      <c r="BB41" s="20">
        <v>0.308</v>
      </c>
      <c r="BC41" s="20">
        <v>-42.293999999999997</v>
      </c>
      <c r="BD41" s="20">
        <v>9.8000000000000004E-2</v>
      </c>
      <c r="BE41" s="20">
        <f t="shared" ref="BE41:BE52" si="20">BA41-BC41</f>
        <v>1.4399999999999977</v>
      </c>
      <c r="BF41" s="20">
        <f t="shared" ref="BF41:BF52" si="21">SQRT((BB41)^2 + (BD41)^2)</f>
        <v>0.32321509865722547</v>
      </c>
      <c r="BG41" s="20">
        <f t="shared" ref="BG41:BG52" si="22">BF41^2</f>
        <v>0.10446799999999999</v>
      </c>
      <c r="BH41" s="9">
        <v>1.33</v>
      </c>
      <c r="BI41" s="20">
        <f t="shared" ref="BI41:BI52" si="23">(BE41-BH41)^2</f>
        <v>1.2099999999999484E-2</v>
      </c>
      <c r="BJ41" s="11"/>
    </row>
    <row r="42" spans="10:62">
      <c r="J42" s="26" t="s">
        <v>45</v>
      </c>
      <c r="K42" s="26" t="s">
        <v>46</v>
      </c>
      <c r="L42" s="9" t="s">
        <v>134</v>
      </c>
      <c r="M42" s="8" t="s">
        <v>135</v>
      </c>
      <c r="N42" s="11" t="s">
        <v>142</v>
      </c>
      <c r="O42" s="20">
        <v>46.652999999999999</v>
      </c>
      <c r="P42" s="20">
        <v>8.8999999999999996E-2</v>
      </c>
      <c r="Q42" s="20">
        <v>46.851999999999997</v>
      </c>
      <c r="R42" s="20">
        <v>0.14299999999999999</v>
      </c>
      <c r="S42" s="20">
        <f t="shared" si="12"/>
        <v>-0.19899999999999807</v>
      </c>
      <c r="T42" s="20">
        <f t="shared" si="13"/>
        <v>0.16843396332094068</v>
      </c>
      <c r="U42" s="20">
        <f t="shared" si="14"/>
        <v>2.8369999999999992E-2</v>
      </c>
      <c r="V42" s="9">
        <v>0.09</v>
      </c>
      <c r="W42" s="20">
        <f t="shared" si="15"/>
        <v>8.352099999999886E-2</v>
      </c>
      <c r="AA42" s="26" t="s">
        <v>82</v>
      </c>
      <c r="AB42" s="26" t="s">
        <v>46</v>
      </c>
      <c r="AC42" s="16" t="s">
        <v>126</v>
      </c>
      <c r="AD42" s="3" t="s">
        <v>50</v>
      </c>
      <c r="AE42" s="1" t="s">
        <v>59</v>
      </c>
      <c r="AF42" s="20">
        <v>15.722</v>
      </c>
      <c r="AG42" s="20">
        <v>0.17100000000000001</v>
      </c>
      <c r="AH42" s="20">
        <v>13.2</v>
      </c>
      <c r="AI42" s="20">
        <v>0.107</v>
      </c>
      <c r="AJ42" s="20">
        <f t="shared" si="16"/>
        <v>2.5220000000000002</v>
      </c>
      <c r="AK42" s="20">
        <f t="shared" si="17"/>
        <v>0.20171762441591465</v>
      </c>
      <c r="AL42" s="20">
        <f t="shared" si="18"/>
        <v>4.0690000000000004E-2</v>
      </c>
      <c r="AM42" s="9">
        <v>0.35</v>
      </c>
      <c r="AN42" s="20">
        <f t="shared" si="19"/>
        <v>4.7175840000000004</v>
      </c>
      <c r="AO42" s="11"/>
      <c r="AP42" s="11"/>
      <c r="AQ42" s="11"/>
      <c r="AV42" s="26" t="s">
        <v>101</v>
      </c>
      <c r="AW42" s="26" t="s">
        <v>46</v>
      </c>
      <c r="AX42" s="9" t="s">
        <v>121</v>
      </c>
      <c r="AY42" s="8" t="s">
        <v>122</v>
      </c>
      <c r="AZ42" s="20" t="s">
        <v>140</v>
      </c>
      <c r="BA42" s="20">
        <v>5.8849999999999998</v>
      </c>
      <c r="BB42" s="20">
        <v>0.308</v>
      </c>
      <c r="BC42" s="20">
        <v>6.0949999999999998</v>
      </c>
      <c r="BD42" s="20">
        <v>5.8999999999999997E-2</v>
      </c>
      <c r="BE42" s="20">
        <f t="shared" si="20"/>
        <v>-0.20999999999999996</v>
      </c>
      <c r="BF42" s="20">
        <f t="shared" si="21"/>
        <v>0.3136000637755037</v>
      </c>
      <c r="BG42" s="20">
        <f t="shared" si="22"/>
        <v>9.8344999999999988E-2</v>
      </c>
      <c r="BH42" s="9">
        <v>0.05</v>
      </c>
      <c r="BI42" s="20">
        <f t="shared" si="23"/>
        <v>6.759999999999998E-2</v>
      </c>
      <c r="BJ42" s="11"/>
    </row>
    <row r="43" spans="10:62">
      <c r="J43" s="26" t="s">
        <v>45</v>
      </c>
      <c r="K43" s="26" t="s">
        <v>46</v>
      </c>
      <c r="L43" s="9" t="s">
        <v>136</v>
      </c>
      <c r="M43" s="8" t="s">
        <v>137</v>
      </c>
      <c r="N43" s="11" t="s">
        <v>143</v>
      </c>
      <c r="O43" s="20">
        <v>-8.3559999999999999</v>
      </c>
      <c r="P43" s="20">
        <v>0.153</v>
      </c>
      <c r="Q43" s="20">
        <v>-7.9059999999999997</v>
      </c>
      <c r="R43" s="20">
        <v>0.33300000000000002</v>
      </c>
      <c r="S43" s="20">
        <f t="shared" si="12"/>
        <v>-0.45000000000000018</v>
      </c>
      <c r="T43" s="20">
        <f t="shared" si="13"/>
        <v>0.36646691528704201</v>
      </c>
      <c r="U43" s="20">
        <f t="shared" si="14"/>
        <v>0.13429800000000003</v>
      </c>
      <c r="V43" s="9">
        <v>0.83</v>
      </c>
      <c r="W43" s="20">
        <f t="shared" si="15"/>
        <v>1.6384000000000007</v>
      </c>
      <c r="AA43" s="26" t="s">
        <v>82</v>
      </c>
      <c r="AB43" s="26" t="s">
        <v>46</v>
      </c>
      <c r="AC43" s="16" t="s">
        <v>127</v>
      </c>
      <c r="AD43" s="3" t="s">
        <v>51</v>
      </c>
      <c r="AE43" s="1" t="s">
        <v>60</v>
      </c>
      <c r="AF43" s="20">
        <v>-5.3150000000000004</v>
      </c>
      <c r="AG43" s="20">
        <v>0.23</v>
      </c>
      <c r="AH43" s="20">
        <v>-5.7530000000000001</v>
      </c>
      <c r="AI43" s="20">
        <v>7.6999999999999999E-2</v>
      </c>
      <c r="AJ43" s="20">
        <f t="shared" si="16"/>
        <v>0.43799999999999972</v>
      </c>
      <c r="AK43" s="20">
        <f t="shared" si="17"/>
        <v>0.24254690268069803</v>
      </c>
      <c r="AL43" s="20">
        <f t="shared" si="18"/>
        <v>5.8829000000000006E-2</v>
      </c>
      <c r="AM43" s="9">
        <v>1.25</v>
      </c>
      <c r="AN43" s="20">
        <f t="shared" si="19"/>
        <v>0.65934400000000049</v>
      </c>
      <c r="AO43" s="11"/>
      <c r="AP43" s="11"/>
      <c r="AQ43" s="11"/>
      <c r="AV43" s="26" t="s">
        <v>101</v>
      </c>
      <c r="AW43" s="26" t="s">
        <v>46</v>
      </c>
      <c r="AX43" s="9" t="s">
        <v>124</v>
      </c>
      <c r="AY43" s="8" t="s">
        <v>125</v>
      </c>
      <c r="AZ43" s="20" t="s">
        <v>58</v>
      </c>
      <c r="BA43" s="20">
        <v>-39.872999999999998</v>
      </c>
      <c r="BB43" s="20">
        <v>0.33900000000000002</v>
      </c>
      <c r="BC43" s="20">
        <v>-42.363</v>
      </c>
      <c r="BD43" s="20">
        <v>4.7E-2</v>
      </c>
      <c r="BE43" s="20">
        <f t="shared" si="20"/>
        <v>2.490000000000002</v>
      </c>
      <c r="BF43" s="20">
        <f t="shared" si="21"/>
        <v>0.34224260401066375</v>
      </c>
      <c r="BG43" s="20">
        <f t="shared" si="22"/>
        <v>0.11713</v>
      </c>
      <c r="BH43" s="9">
        <v>0.76</v>
      </c>
      <c r="BI43" s="20">
        <f t="shared" si="23"/>
        <v>2.9929000000000068</v>
      </c>
      <c r="BJ43" s="11"/>
    </row>
    <row r="44" spans="10:62">
      <c r="J44" s="26" t="s">
        <v>45</v>
      </c>
      <c r="K44" s="26" t="s">
        <v>46</v>
      </c>
      <c r="L44" s="28" t="s">
        <v>138</v>
      </c>
      <c r="M44" s="8" t="s">
        <v>139</v>
      </c>
      <c r="N44" s="11" t="s">
        <v>144</v>
      </c>
      <c r="O44" s="20">
        <v>-16.396000000000001</v>
      </c>
      <c r="P44" s="20">
        <v>0.312</v>
      </c>
      <c r="Q44" s="20">
        <v>-20.651</v>
      </c>
      <c r="R44" s="20">
        <v>0.21199999999999999</v>
      </c>
      <c r="S44" s="20">
        <f t="shared" si="12"/>
        <v>4.254999999999999</v>
      </c>
      <c r="T44" s="20">
        <f t="shared" si="13"/>
        <v>0.37721081638786552</v>
      </c>
      <c r="U44" s="20">
        <f t="shared" si="14"/>
        <v>0.142288</v>
      </c>
      <c r="V44" s="9">
        <v>1.07</v>
      </c>
      <c r="W44" s="20">
        <f t="shared" si="15"/>
        <v>10.144224999999992</v>
      </c>
      <c r="AA44" s="26" t="s">
        <v>82</v>
      </c>
      <c r="AB44" s="26" t="s">
        <v>46</v>
      </c>
      <c r="AC44" s="16" t="s">
        <v>128</v>
      </c>
      <c r="AD44" s="3" t="s">
        <v>129</v>
      </c>
      <c r="AE44" s="1" t="s">
        <v>61</v>
      </c>
      <c r="AF44" s="20">
        <v>-5.4610000000000003</v>
      </c>
      <c r="AG44" s="20">
        <v>6.9000000000000006E-2</v>
      </c>
      <c r="AH44" s="20">
        <v>-6.91</v>
      </c>
      <c r="AI44" s="20">
        <v>4.4999999999999998E-2</v>
      </c>
      <c r="AJ44" s="20">
        <f t="shared" si="16"/>
        <v>1.4489999999999998</v>
      </c>
      <c r="AK44" s="20">
        <f t="shared" si="17"/>
        <v>8.2377181306475894E-2</v>
      </c>
      <c r="AL44" s="20">
        <f t="shared" si="18"/>
        <v>6.7860000000000012E-3</v>
      </c>
      <c r="AM44" s="9">
        <v>1.1499999999999999</v>
      </c>
      <c r="AN44" s="20">
        <f t="shared" si="19"/>
        <v>8.9400999999999953E-2</v>
      </c>
      <c r="AO44" s="11"/>
      <c r="AP44" s="11"/>
      <c r="AQ44" s="11"/>
      <c r="AV44" s="26" t="s">
        <v>101</v>
      </c>
      <c r="AW44" s="26" t="s">
        <v>46</v>
      </c>
      <c r="AX44" s="9" t="s">
        <v>126</v>
      </c>
      <c r="AY44" s="8" t="s">
        <v>50</v>
      </c>
      <c r="AZ44" s="20" t="s">
        <v>59</v>
      </c>
      <c r="BA44" s="20">
        <v>15.317</v>
      </c>
      <c r="BB44" s="20">
        <v>0.129</v>
      </c>
      <c r="BC44" s="20">
        <v>13.378</v>
      </c>
      <c r="BD44" s="20">
        <v>4.4999999999999998E-2</v>
      </c>
      <c r="BE44" s="20">
        <f t="shared" si="20"/>
        <v>1.9390000000000001</v>
      </c>
      <c r="BF44" s="20">
        <f t="shared" si="21"/>
        <v>0.1366235704408284</v>
      </c>
      <c r="BG44" s="20">
        <f t="shared" si="22"/>
        <v>1.8665999999999999E-2</v>
      </c>
      <c r="BH44" s="9">
        <v>0.35</v>
      </c>
      <c r="BI44" s="20">
        <f t="shared" si="23"/>
        <v>2.524921</v>
      </c>
      <c r="BJ44" s="11"/>
    </row>
    <row r="45" spans="10:62">
      <c r="J45" s="15" t="s">
        <v>45</v>
      </c>
      <c r="K45" s="1" t="s">
        <v>70</v>
      </c>
      <c r="L45" s="16" t="s">
        <v>4</v>
      </c>
      <c r="M45" s="16" t="s">
        <v>145</v>
      </c>
      <c r="N45" s="1" t="s">
        <v>149</v>
      </c>
      <c r="O45" s="20">
        <v>46.567999999999998</v>
      </c>
      <c r="P45" s="20">
        <v>0.13700000000000001</v>
      </c>
      <c r="Q45" s="20">
        <v>46.350999999999999</v>
      </c>
      <c r="R45" s="20">
        <v>0.06</v>
      </c>
      <c r="S45" s="20">
        <f>O45-Q45</f>
        <v>0.21699999999999875</v>
      </c>
      <c r="T45" s="20">
        <f>SQRT((P45)^2 + (R45)^2)</f>
        <v>0.14956269588369955</v>
      </c>
      <c r="U45" s="20">
        <f>T45^2</f>
        <v>2.2369E-2</v>
      </c>
      <c r="V45" s="9">
        <v>-0.22</v>
      </c>
      <c r="W45" s="20">
        <f>(S45-V45)^2</f>
        <v>0.19096899999999889</v>
      </c>
      <c r="AA45" s="26" t="s">
        <v>82</v>
      </c>
      <c r="AB45" s="26" t="s">
        <v>46</v>
      </c>
      <c r="AC45" s="16" t="s">
        <v>130</v>
      </c>
      <c r="AD45" s="3" t="s">
        <v>85</v>
      </c>
      <c r="AE45" s="1" t="s">
        <v>91</v>
      </c>
      <c r="AF45" s="20">
        <v>-5.7610000000000001</v>
      </c>
      <c r="AG45" s="20">
        <v>0.127</v>
      </c>
      <c r="AH45" s="20">
        <v>-5.8780000000000001</v>
      </c>
      <c r="AI45" s="20">
        <v>0.34499999999999997</v>
      </c>
      <c r="AJ45" s="20">
        <f t="shared" si="16"/>
        <v>0.11699999999999999</v>
      </c>
      <c r="AK45" s="20">
        <f t="shared" si="17"/>
        <v>0.36763296914177862</v>
      </c>
      <c r="AL45" s="20">
        <f t="shared" si="18"/>
        <v>0.13515399999999994</v>
      </c>
      <c r="AM45" s="9">
        <v>0.86</v>
      </c>
      <c r="AN45" s="20">
        <f t="shared" si="19"/>
        <v>0.55204900000000001</v>
      </c>
      <c r="AO45" s="11"/>
      <c r="AP45" s="11"/>
      <c r="AQ45" s="11"/>
      <c r="AV45" s="26" t="s">
        <v>101</v>
      </c>
      <c r="AW45" s="26" t="s">
        <v>46</v>
      </c>
      <c r="AX45" s="9" t="s">
        <v>127</v>
      </c>
      <c r="AY45" s="8" t="s">
        <v>51</v>
      </c>
      <c r="AZ45" s="20" t="s">
        <v>60</v>
      </c>
      <c r="BA45" s="20">
        <v>-5.3380000000000001</v>
      </c>
      <c r="BB45" s="20">
        <v>0.11</v>
      </c>
      <c r="BC45" s="20">
        <v>-5.7450000000000001</v>
      </c>
      <c r="BD45" s="20">
        <v>2.9000000000000001E-2</v>
      </c>
      <c r="BE45" s="20">
        <f t="shared" si="20"/>
        <v>0.40700000000000003</v>
      </c>
      <c r="BF45" s="20">
        <f t="shared" si="21"/>
        <v>0.113758516164725</v>
      </c>
      <c r="BG45" s="20">
        <f t="shared" si="22"/>
        <v>1.2940999999999999E-2</v>
      </c>
      <c r="BH45" s="9">
        <v>1.25</v>
      </c>
      <c r="BI45" s="20">
        <f t="shared" si="23"/>
        <v>0.71064899999999998</v>
      </c>
      <c r="BJ45" s="11"/>
    </row>
    <row r="46" spans="10:62">
      <c r="J46" s="15" t="s">
        <v>45</v>
      </c>
      <c r="K46" s="1" t="s">
        <v>70</v>
      </c>
      <c r="L46" s="16" t="s">
        <v>119</v>
      </c>
      <c r="M46" s="16" t="s">
        <v>146</v>
      </c>
      <c r="N46" s="1" t="s">
        <v>150</v>
      </c>
      <c r="O46" s="20">
        <v>68.072000000000003</v>
      </c>
      <c r="P46" s="20">
        <v>9.4E-2</v>
      </c>
      <c r="Q46" s="20">
        <v>68.706000000000003</v>
      </c>
      <c r="R46" s="20">
        <v>0.115</v>
      </c>
      <c r="S46" s="20">
        <f>O46-Q46</f>
        <v>-0.63400000000000034</v>
      </c>
      <c r="T46" s="20">
        <f>SQRT((P46)^2 + (R46)^2)</f>
        <v>0.14852945835759315</v>
      </c>
      <c r="U46" s="20">
        <f>T46^2</f>
        <v>2.2060999999999997E-2</v>
      </c>
      <c r="V46" s="9">
        <v>0.2</v>
      </c>
      <c r="W46" s="20">
        <f>(S46-V46)^2</f>
        <v>0.69555600000000051</v>
      </c>
      <c r="AA46" s="26" t="s">
        <v>82</v>
      </c>
      <c r="AB46" s="26" t="s">
        <v>46</v>
      </c>
      <c r="AC46" s="16" t="s">
        <v>131</v>
      </c>
      <c r="AD46" s="3" t="s">
        <v>132</v>
      </c>
      <c r="AE46" s="1" t="s">
        <v>141</v>
      </c>
      <c r="AF46" s="20">
        <v>47.466999999999999</v>
      </c>
      <c r="AG46" s="20">
        <v>9.4E-2</v>
      </c>
      <c r="AH46" s="20">
        <v>46.307000000000002</v>
      </c>
      <c r="AI46" s="20">
        <v>4.3999999999999997E-2</v>
      </c>
      <c r="AJ46" s="20">
        <f t="shared" si="16"/>
        <v>1.1599999999999966</v>
      </c>
      <c r="AK46" s="20">
        <f t="shared" si="17"/>
        <v>0.10378824596263297</v>
      </c>
      <c r="AL46" s="20">
        <f t="shared" si="18"/>
        <v>1.0772E-2</v>
      </c>
      <c r="AM46" s="9">
        <v>1.1100000000000001</v>
      </c>
      <c r="AN46" s="20">
        <f t="shared" si="19"/>
        <v>2.4999999999996492E-3</v>
      </c>
      <c r="AO46" s="11"/>
      <c r="AP46" s="11"/>
      <c r="AQ46" s="11"/>
      <c r="AV46" s="26" t="s">
        <v>101</v>
      </c>
      <c r="AW46" s="26" t="s">
        <v>46</v>
      </c>
      <c r="AX46" s="9" t="s">
        <v>128</v>
      </c>
      <c r="AY46" s="8" t="s">
        <v>129</v>
      </c>
      <c r="AZ46" s="20" t="s">
        <v>61</v>
      </c>
      <c r="BA46" s="20">
        <v>-5.5890000000000004</v>
      </c>
      <c r="BB46" s="20">
        <v>0.156</v>
      </c>
      <c r="BC46" s="20">
        <v>-7.125</v>
      </c>
      <c r="BD46" s="20">
        <v>0.09</v>
      </c>
      <c r="BE46" s="20">
        <f t="shared" si="20"/>
        <v>1.5359999999999996</v>
      </c>
      <c r="BF46" s="20">
        <f t="shared" si="21"/>
        <v>0.18009997223764362</v>
      </c>
      <c r="BG46" s="20">
        <f t="shared" si="22"/>
        <v>3.2436000000000006E-2</v>
      </c>
      <c r="BH46" s="9">
        <v>1.1499999999999999</v>
      </c>
      <c r="BI46" s="20">
        <f t="shared" si="23"/>
        <v>0.14899599999999974</v>
      </c>
      <c r="BJ46" s="11"/>
    </row>
    <row r="47" spans="10:62">
      <c r="J47" s="15" t="s">
        <v>45</v>
      </c>
      <c r="K47" s="1" t="s">
        <v>70</v>
      </c>
      <c r="L47" s="25" t="s">
        <v>120</v>
      </c>
      <c r="M47" s="16" t="s">
        <v>147</v>
      </c>
      <c r="N47" s="1" t="s">
        <v>151</v>
      </c>
      <c r="O47" s="20">
        <v>-22.6</v>
      </c>
      <c r="P47" s="20">
        <v>0.183</v>
      </c>
      <c r="Q47" s="20">
        <v>-24.513000000000002</v>
      </c>
      <c r="R47" s="20">
        <v>0.14899999999999999</v>
      </c>
      <c r="S47" s="20">
        <f>O47-Q47</f>
        <v>1.9130000000000003</v>
      </c>
      <c r="T47" s="20">
        <f>SQRT((P47)^2 + (R47)^2)</f>
        <v>0.2359872877932199</v>
      </c>
      <c r="U47" s="20">
        <f>T47^2</f>
        <v>5.568999999999999E-2</v>
      </c>
      <c r="V47" s="9">
        <v>-0.87</v>
      </c>
      <c r="W47" s="20">
        <f>(S47-V47)^2</f>
        <v>7.7450890000000019</v>
      </c>
      <c r="AA47" s="26" t="s">
        <v>82</v>
      </c>
      <c r="AB47" s="26" t="s">
        <v>46</v>
      </c>
      <c r="AC47" s="16" t="s">
        <v>133</v>
      </c>
      <c r="AD47" s="3" t="s">
        <v>53</v>
      </c>
      <c r="AE47" s="1" t="s">
        <v>62</v>
      </c>
      <c r="AF47" s="20">
        <v>46.466999999999999</v>
      </c>
      <c r="AG47" s="20">
        <v>0.20399999999999999</v>
      </c>
      <c r="AH47" s="20">
        <v>45.91</v>
      </c>
      <c r="AI47" s="20">
        <v>4.7E-2</v>
      </c>
      <c r="AJ47" s="20">
        <f t="shared" si="16"/>
        <v>0.55700000000000216</v>
      </c>
      <c r="AK47" s="20">
        <f t="shared" si="17"/>
        <v>0.20934421415458321</v>
      </c>
      <c r="AL47" s="20">
        <f t="shared" si="18"/>
        <v>4.3824999999999996E-2</v>
      </c>
      <c r="AM47" s="9">
        <v>0.55000000000000004</v>
      </c>
      <c r="AN47" s="20">
        <f t="shared" si="19"/>
        <v>4.9000000000029617E-5</v>
      </c>
      <c r="AO47" s="11"/>
      <c r="AP47" s="11"/>
      <c r="AQ47" s="11"/>
      <c r="AV47" s="26" t="s">
        <v>101</v>
      </c>
      <c r="AW47" s="26" t="s">
        <v>46</v>
      </c>
      <c r="AX47" s="9" t="s">
        <v>130</v>
      </c>
      <c r="AY47" s="8" t="s">
        <v>85</v>
      </c>
      <c r="AZ47" s="20" t="s">
        <v>91</v>
      </c>
      <c r="BA47" s="20">
        <v>-6.0170000000000003</v>
      </c>
      <c r="BB47" s="20">
        <v>0.253</v>
      </c>
      <c r="BC47" s="20">
        <v>-6.242</v>
      </c>
      <c r="BD47" s="20">
        <v>0.157</v>
      </c>
      <c r="BE47" s="20">
        <f t="shared" si="20"/>
        <v>0.22499999999999964</v>
      </c>
      <c r="BF47" s="20">
        <f t="shared" si="21"/>
        <v>0.29775493278869453</v>
      </c>
      <c r="BG47" s="20">
        <f t="shared" si="22"/>
        <v>8.8658000000000001E-2</v>
      </c>
      <c r="BH47" s="9">
        <v>0.86</v>
      </c>
      <c r="BI47" s="20">
        <f t="shared" si="23"/>
        <v>0.40322500000000044</v>
      </c>
      <c r="BJ47" s="11"/>
    </row>
    <row r="48" spans="10:62">
      <c r="J48" s="15" t="s">
        <v>45</v>
      </c>
      <c r="K48" s="1" t="s">
        <v>70</v>
      </c>
      <c r="L48" s="25" t="s">
        <v>123</v>
      </c>
      <c r="M48" s="24" t="s">
        <v>148</v>
      </c>
      <c r="N48" s="1" t="s">
        <v>152</v>
      </c>
      <c r="O48" s="20">
        <v>-22.948</v>
      </c>
      <c r="P48" s="20">
        <v>0.151</v>
      </c>
      <c r="Q48" s="20">
        <v>-24.225999999999999</v>
      </c>
      <c r="R48" s="20">
        <v>0.223</v>
      </c>
      <c r="S48" s="20">
        <f>O48-Q48</f>
        <v>1.2779999999999987</v>
      </c>
      <c r="T48" s="20">
        <f>SQRT((P48)^2 + (R48)^2)</f>
        <v>0.26931394319641155</v>
      </c>
      <c r="U48" s="20">
        <f>T48^2</f>
        <v>7.2529999999999983E-2</v>
      </c>
      <c r="V48" s="9">
        <v>0.83</v>
      </c>
      <c r="W48" s="20">
        <f>(S48-V48)^2</f>
        <v>0.20070399999999886</v>
      </c>
      <c r="AA48" s="26" t="s">
        <v>82</v>
      </c>
      <c r="AB48" s="26" t="s">
        <v>46</v>
      </c>
      <c r="AC48" s="16" t="s">
        <v>134</v>
      </c>
      <c r="AD48" s="3" t="s">
        <v>135</v>
      </c>
      <c r="AE48" s="1" t="s">
        <v>142</v>
      </c>
      <c r="AF48" s="20">
        <v>46.451000000000001</v>
      </c>
      <c r="AG48" s="20">
        <v>5.8999999999999997E-2</v>
      </c>
      <c r="AH48" s="20">
        <v>46.646999999999998</v>
      </c>
      <c r="AI48" s="20">
        <v>3.5000000000000003E-2</v>
      </c>
      <c r="AJ48" s="20">
        <f t="shared" si="16"/>
        <v>-0.19599999999999795</v>
      </c>
      <c r="AK48" s="20">
        <f t="shared" si="17"/>
        <v>6.860029154456998E-2</v>
      </c>
      <c r="AL48" s="20">
        <f t="shared" si="18"/>
        <v>4.7059999999999992E-3</v>
      </c>
      <c r="AM48" s="9">
        <v>0.09</v>
      </c>
      <c r="AN48" s="20">
        <f t="shared" si="19"/>
        <v>8.1795999999998814E-2</v>
      </c>
      <c r="AO48" s="11"/>
      <c r="AP48" s="11"/>
      <c r="AQ48" s="11"/>
      <c r="AV48" s="26" t="s">
        <v>101</v>
      </c>
      <c r="AW48" s="26" t="s">
        <v>46</v>
      </c>
      <c r="AX48" s="9" t="s">
        <v>131</v>
      </c>
      <c r="AY48" s="8" t="s">
        <v>132</v>
      </c>
      <c r="AZ48" s="20" t="s">
        <v>141</v>
      </c>
      <c r="BA48" s="20">
        <v>46.832000000000001</v>
      </c>
      <c r="BB48" s="20">
        <v>0.127</v>
      </c>
      <c r="BC48" s="20">
        <v>46.286999999999999</v>
      </c>
      <c r="BD48" s="20">
        <v>3.1E-2</v>
      </c>
      <c r="BE48" s="20">
        <f t="shared" si="20"/>
        <v>0.54500000000000171</v>
      </c>
      <c r="BF48" s="20">
        <f t="shared" si="21"/>
        <v>0.130728726758888</v>
      </c>
      <c r="BG48" s="20">
        <f t="shared" si="22"/>
        <v>1.7089999999999998E-2</v>
      </c>
      <c r="BH48" s="9">
        <v>1.1100000000000001</v>
      </c>
      <c r="BI48" s="20">
        <f t="shared" si="23"/>
        <v>0.3192249999999982</v>
      </c>
      <c r="BJ48" s="11"/>
    </row>
    <row r="49" spans="10:62">
      <c r="U49" s="18" t="s">
        <v>67</v>
      </c>
      <c r="V49" s="18"/>
      <c r="W49" s="18" t="s">
        <v>67</v>
      </c>
      <c r="AA49" s="26" t="s">
        <v>82</v>
      </c>
      <c r="AB49" s="26" t="s">
        <v>46</v>
      </c>
      <c r="AC49" s="16" t="s">
        <v>136</v>
      </c>
      <c r="AD49" s="3" t="s">
        <v>137</v>
      </c>
      <c r="AE49" s="1" t="s">
        <v>143</v>
      </c>
      <c r="AF49" s="20">
        <v>-8.4580000000000002</v>
      </c>
      <c r="AG49" s="20">
        <v>0.1</v>
      </c>
      <c r="AH49" s="20">
        <v>-8.6940000000000008</v>
      </c>
      <c r="AI49" s="20">
        <v>0.13100000000000001</v>
      </c>
      <c r="AJ49" s="20">
        <f t="shared" si="16"/>
        <v>0.23600000000000065</v>
      </c>
      <c r="AK49" s="20">
        <f t="shared" si="17"/>
        <v>0.1648059464946578</v>
      </c>
      <c r="AL49" s="20">
        <f t="shared" si="18"/>
        <v>2.7161000000000008E-2</v>
      </c>
      <c r="AM49" s="9">
        <v>0.83</v>
      </c>
      <c r="AN49" s="20">
        <f t="shared" si="19"/>
        <v>0.35283599999999915</v>
      </c>
      <c r="AO49" s="11"/>
      <c r="AP49" s="11"/>
      <c r="AQ49" s="11"/>
      <c r="AV49" s="26" t="s">
        <v>101</v>
      </c>
      <c r="AW49" s="26" t="s">
        <v>46</v>
      </c>
      <c r="AX49" s="9" t="s">
        <v>133</v>
      </c>
      <c r="AY49" s="8" t="s">
        <v>53</v>
      </c>
      <c r="AZ49" s="20" t="s">
        <v>62</v>
      </c>
      <c r="BA49" s="20">
        <v>46.542000000000002</v>
      </c>
      <c r="BB49" s="20">
        <v>0.13200000000000001</v>
      </c>
      <c r="BC49" s="20">
        <v>45.902999999999999</v>
      </c>
      <c r="BD49" s="20">
        <v>6.6000000000000003E-2</v>
      </c>
      <c r="BE49" s="20">
        <f t="shared" si="20"/>
        <v>0.6390000000000029</v>
      </c>
      <c r="BF49" s="20">
        <f t="shared" si="21"/>
        <v>0.14758048651498612</v>
      </c>
      <c r="BG49" s="20">
        <f t="shared" si="22"/>
        <v>2.1780000000000001E-2</v>
      </c>
      <c r="BH49" s="9">
        <v>0.55000000000000004</v>
      </c>
      <c r="BI49" s="20">
        <f t="shared" si="23"/>
        <v>7.9210000000005075E-3</v>
      </c>
      <c r="BJ49" s="11"/>
    </row>
    <row r="50" spans="10:62">
      <c r="U50" s="29">
        <f>SUM(U35:U48)</f>
        <v>1.014618</v>
      </c>
      <c r="V50" s="29"/>
      <c r="W50" s="29">
        <f>SUM(W35:W48)</f>
        <v>28.260008999999986</v>
      </c>
      <c r="AA50" s="26" t="s">
        <v>101</v>
      </c>
      <c r="AB50" s="26" t="s">
        <v>46</v>
      </c>
      <c r="AC50" s="25" t="s">
        <v>138</v>
      </c>
      <c r="AD50" s="3" t="s">
        <v>139</v>
      </c>
      <c r="AE50" s="1" t="s">
        <v>144</v>
      </c>
      <c r="AF50" s="20">
        <v>-19.974</v>
      </c>
      <c r="AG50" s="20">
        <v>0.98599999999999999</v>
      </c>
      <c r="AH50" s="20">
        <v>-22.344999999999999</v>
      </c>
      <c r="AI50" s="20">
        <v>0.19</v>
      </c>
      <c r="AJ50" s="20">
        <f t="shared" si="16"/>
        <v>2.3709999999999987</v>
      </c>
      <c r="AK50" s="20">
        <f t="shared" si="17"/>
        <v>1.0041394325490858</v>
      </c>
      <c r="AL50" s="20">
        <f t="shared" si="18"/>
        <v>1.0082960000000001</v>
      </c>
      <c r="AM50" s="9">
        <v>1.07</v>
      </c>
      <c r="AN50" s="20">
        <f t="shared" si="19"/>
        <v>1.6926009999999965</v>
      </c>
      <c r="AO50" s="11"/>
      <c r="AP50" s="11"/>
      <c r="AQ50" s="11"/>
      <c r="AV50" s="26" t="s">
        <v>101</v>
      </c>
      <c r="AW50" s="26" t="s">
        <v>46</v>
      </c>
      <c r="AX50" s="9" t="s">
        <v>134</v>
      </c>
      <c r="AY50" s="8" t="s">
        <v>135</v>
      </c>
      <c r="AZ50" s="20" t="s">
        <v>142</v>
      </c>
      <c r="BA50" s="20">
        <v>46.750999999999998</v>
      </c>
      <c r="BB50" s="20">
        <v>5.7000000000000002E-2</v>
      </c>
      <c r="BC50" s="20">
        <v>46.564</v>
      </c>
      <c r="BD50" s="20">
        <v>2.8000000000000001E-2</v>
      </c>
      <c r="BE50" s="20">
        <f t="shared" si="20"/>
        <v>0.18699999999999761</v>
      </c>
      <c r="BF50" s="20">
        <f t="shared" si="21"/>
        <v>6.3505905237229709E-2</v>
      </c>
      <c r="BG50" s="20">
        <f t="shared" si="22"/>
        <v>4.0330000000000001E-3</v>
      </c>
      <c r="BH50" s="9">
        <v>0.09</v>
      </c>
      <c r="BI50" s="20">
        <f t="shared" si="23"/>
        <v>9.4089999999995375E-3</v>
      </c>
      <c r="BJ50" s="11"/>
    </row>
    <row r="51" spans="10:62">
      <c r="U51" s="29"/>
      <c r="V51" s="29"/>
      <c r="W51" s="29"/>
      <c r="AA51" s="15" t="s">
        <v>82</v>
      </c>
      <c r="AB51" s="1" t="s">
        <v>70</v>
      </c>
      <c r="AC51" s="16" t="s">
        <v>4</v>
      </c>
      <c r="AD51" s="16" t="s">
        <v>145</v>
      </c>
      <c r="AE51" s="1" t="s">
        <v>149</v>
      </c>
      <c r="AF51" s="1">
        <v>46.143999999999998</v>
      </c>
      <c r="AG51" s="1">
        <v>6.0999999999999999E-2</v>
      </c>
      <c r="AH51" s="20">
        <v>46.198999999999998</v>
      </c>
      <c r="AI51" s="20">
        <v>0.114</v>
      </c>
      <c r="AJ51" s="20">
        <f>AF51-AH51</f>
        <v>-5.4999999999999716E-2</v>
      </c>
      <c r="AK51" s="20">
        <f>SQRT((AG51)^2 + (AI51)^2)</f>
        <v>0.12929423807734047</v>
      </c>
      <c r="AL51" s="20">
        <f>AK51^2</f>
        <v>1.6716999999999999E-2</v>
      </c>
      <c r="AM51" s="9">
        <v>-0.22</v>
      </c>
      <c r="AN51" s="20">
        <f>(AJ51-AM51)^2</f>
        <v>2.7225000000000093E-2</v>
      </c>
      <c r="AO51" s="11"/>
      <c r="AP51" s="11"/>
      <c r="AQ51" s="11"/>
      <c r="AV51" s="26" t="s">
        <v>101</v>
      </c>
      <c r="AW51" s="26" t="s">
        <v>46</v>
      </c>
      <c r="AX51" s="9" t="s">
        <v>136</v>
      </c>
      <c r="AY51" s="8" t="s">
        <v>137</v>
      </c>
      <c r="AZ51" s="20" t="s">
        <v>143</v>
      </c>
      <c r="BA51" s="20">
        <v>-8.7379999999999995</v>
      </c>
      <c r="BB51" s="20">
        <v>9.0999999999999998E-2</v>
      </c>
      <c r="BC51" s="20">
        <v>-8.6549999999999994</v>
      </c>
      <c r="BD51" s="20">
        <v>3.5000000000000003E-2</v>
      </c>
      <c r="BE51" s="20">
        <f t="shared" si="20"/>
        <v>-8.3000000000000185E-2</v>
      </c>
      <c r="BF51" s="20">
        <f t="shared" si="21"/>
        <v>9.7498717940288832E-2</v>
      </c>
      <c r="BG51" s="20">
        <f t="shared" si="22"/>
        <v>9.5059999999999988E-3</v>
      </c>
      <c r="BH51" s="9">
        <v>0.83</v>
      </c>
      <c r="BI51" s="20">
        <f t="shared" si="23"/>
        <v>0.83356900000000023</v>
      </c>
      <c r="BJ51" s="11"/>
    </row>
    <row r="52" spans="10:62">
      <c r="U52" s="29"/>
      <c r="V52" s="30" t="s">
        <v>68</v>
      </c>
      <c r="W52" s="29">
        <f>SQRT(W50/14)</f>
        <v>1.4207646080292717</v>
      </c>
      <c r="AA52" s="15" t="s">
        <v>82</v>
      </c>
      <c r="AB52" s="1" t="s">
        <v>70</v>
      </c>
      <c r="AC52" s="16" t="s">
        <v>119</v>
      </c>
      <c r="AD52" s="16" t="s">
        <v>146</v>
      </c>
      <c r="AE52" s="1" t="s">
        <v>150</v>
      </c>
      <c r="AF52" s="1">
        <v>68.542000000000002</v>
      </c>
      <c r="AG52" s="1">
        <v>5.6000000000000001E-2</v>
      </c>
      <c r="AH52" s="20">
        <v>68.394000000000005</v>
      </c>
      <c r="AI52" s="20">
        <v>9.2999999999999999E-2</v>
      </c>
      <c r="AJ52" s="20">
        <f>AF52-AH52</f>
        <v>0.14799999999999613</v>
      </c>
      <c r="AK52" s="20">
        <f>SQRT((AG52)^2 + (AI52)^2)</f>
        <v>0.10855873986004075</v>
      </c>
      <c r="AL52" s="20">
        <f>AK52^2</f>
        <v>1.1785E-2</v>
      </c>
      <c r="AM52" s="9">
        <v>0.2</v>
      </c>
      <c r="AN52" s="20">
        <f>(AJ52-AM52)^2</f>
        <v>2.7040000000004031E-3</v>
      </c>
      <c r="AO52" s="11"/>
      <c r="AP52" s="11"/>
      <c r="AQ52" s="11"/>
      <c r="AV52" s="26" t="s">
        <v>101</v>
      </c>
      <c r="AW52" s="26" t="s">
        <v>46</v>
      </c>
      <c r="AX52" s="27" t="s">
        <v>138</v>
      </c>
      <c r="AY52" s="8" t="s">
        <v>139</v>
      </c>
      <c r="AZ52" s="20" t="s">
        <v>144</v>
      </c>
      <c r="BA52" s="20">
        <v>-19.974</v>
      </c>
      <c r="BB52" s="20">
        <v>0.98599999999999999</v>
      </c>
      <c r="BC52" s="20">
        <v>-22.344999999999999</v>
      </c>
      <c r="BD52" s="20">
        <v>0.19</v>
      </c>
      <c r="BE52" s="20">
        <f t="shared" si="20"/>
        <v>2.3709999999999987</v>
      </c>
      <c r="BF52" s="20">
        <f t="shared" si="21"/>
        <v>1.0041394325490858</v>
      </c>
      <c r="BG52" s="20">
        <f t="shared" si="22"/>
        <v>1.0082960000000001</v>
      </c>
      <c r="BH52" s="9">
        <v>1.07</v>
      </c>
      <c r="BI52" s="20">
        <f t="shared" si="23"/>
        <v>1.6926009999999965</v>
      </c>
      <c r="BJ52" s="11"/>
    </row>
    <row r="53" spans="10:62">
      <c r="U53" s="29"/>
      <c r="V53" s="30" t="s">
        <v>40</v>
      </c>
      <c r="W53" s="29">
        <f>SQRT(U50/14)</f>
        <v>0.26920756728909812</v>
      </c>
      <c r="AA53" s="15" t="s">
        <v>101</v>
      </c>
      <c r="AB53" s="1" t="s">
        <v>70</v>
      </c>
      <c r="AC53" s="25" t="s">
        <v>120</v>
      </c>
      <c r="AD53" s="16" t="s">
        <v>147</v>
      </c>
      <c r="AE53" s="1" t="s">
        <v>151</v>
      </c>
      <c r="AF53" s="1">
        <v>-23.030999999999999</v>
      </c>
      <c r="AG53" s="1">
        <v>0.14299999999999999</v>
      </c>
      <c r="AH53" s="20">
        <v>-24.692</v>
      </c>
      <c r="AI53" s="20">
        <v>6.7000000000000004E-2</v>
      </c>
      <c r="AJ53" s="20">
        <f>AF53-AH53</f>
        <v>1.6610000000000014</v>
      </c>
      <c r="AK53" s="20">
        <f>SQRT((AG53)^2 + (AI53)^2)</f>
        <v>0.15791770008456935</v>
      </c>
      <c r="AL53" s="20">
        <f>AK53^2</f>
        <v>2.4937999999999991E-2</v>
      </c>
      <c r="AM53" s="9">
        <v>-0.87</v>
      </c>
      <c r="AN53" s="20">
        <f>(AJ53-AM53)^2</f>
        <v>6.4059610000000076</v>
      </c>
      <c r="AO53" s="11"/>
      <c r="AP53" s="11"/>
      <c r="AQ53" s="11"/>
      <c r="AV53" s="15" t="s">
        <v>101</v>
      </c>
      <c r="AW53" s="20" t="s">
        <v>70</v>
      </c>
      <c r="AX53" s="9" t="s">
        <v>4</v>
      </c>
      <c r="AY53" s="9" t="s">
        <v>145</v>
      </c>
      <c r="AZ53" s="20" t="s">
        <v>149</v>
      </c>
      <c r="BA53" s="20">
        <v>46.195999999999998</v>
      </c>
      <c r="BB53" s="20">
        <v>6.7000000000000004E-2</v>
      </c>
      <c r="BC53" s="20">
        <v>46.012999999999998</v>
      </c>
      <c r="BD53" s="20">
        <v>6.4000000000000001E-2</v>
      </c>
      <c r="BE53" s="20">
        <f>BA53-BC53</f>
        <v>0.18299999999999983</v>
      </c>
      <c r="BF53" s="20">
        <f>SQRT((BB53)^2 + (BD53)^2)</f>
        <v>9.2655275079188026E-2</v>
      </c>
      <c r="BG53" s="20">
        <f>BF53^2</f>
        <v>8.5850000000000024E-3</v>
      </c>
      <c r="BH53" s="9">
        <v>-0.22</v>
      </c>
      <c r="BI53" s="20">
        <f>(BE53-BH53)^2</f>
        <v>0.16240899999999983</v>
      </c>
      <c r="BJ53" s="11"/>
    </row>
    <row r="54" spans="10:62">
      <c r="U54" s="29"/>
      <c r="V54" s="29"/>
      <c r="W54" s="29"/>
      <c r="AA54" s="15" t="s">
        <v>101</v>
      </c>
      <c r="AB54" s="1" t="s">
        <v>70</v>
      </c>
      <c r="AC54" s="25" t="s">
        <v>123</v>
      </c>
      <c r="AD54" s="24" t="s">
        <v>148</v>
      </c>
      <c r="AE54" s="1" t="s">
        <v>152</v>
      </c>
      <c r="AF54" s="1">
        <v>-22.321000000000002</v>
      </c>
      <c r="AG54" s="1">
        <v>0.113</v>
      </c>
      <c r="AH54" s="20">
        <v>-24.713999999999999</v>
      </c>
      <c r="AI54" s="20">
        <v>0.24</v>
      </c>
      <c r="AJ54" s="20">
        <f>AF54-AH54</f>
        <v>2.3929999999999971</v>
      </c>
      <c r="AK54" s="20">
        <f>SQRT((AG54)^2 + (AI54)^2)</f>
        <v>0.26527155897306443</v>
      </c>
      <c r="AL54" s="20">
        <f>AK54^2</f>
        <v>7.0369000000000001E-2</v>
      </c>
      <c r="AM54" s="9">
        <v>0.83</v>
      </c>
      <c r="AN54" s="20">
        <f>(AJ54-AM54)^2</f>
        <v>2.4429689999999908</v>
      </c>
      <c r="AO54" s="11"/>
      <c r="AP54" s="11"/>
      <c r="AQ54" s="11"/>
      <c r="AV54" s="15" t="s">
        <v>101</v>
      </c>
      <c r="AW54" s="20" t="s">
        <v>70</v>
      </c>
      <c r="AX54" s="9" t="s">
        <v>119</v>
      </c>
      <c r="AY54" s="9" t="s">
        <v>146</v>
      </c>
      <c r="AZ54" s="20" t="s">
        <v>150</v>
      </c>
      <c r="BA54" s="20">
        <v>68.662999999999997</v>
      </c>
      <c r="BB54" s="20">
        <v>6.7000000000000004E-2</v>
      </c>
      <c r="BC54" s="20">
        <v>68.444000000000003</v>
      </c>
      <c r="BD54" s="20">
        <v>5.8000000000000003E-2</v>
      </c>
      <c r="BE54" s="20">
        <f>BA54-BC54</f>
        <v>0.21899999999999409</v>
      </c>
      <c r="BF54" s="20">
        <f>SQRT((BB54)^2 + (BD54)^2)</f>
        <v>8.8617154095581296E-2</v>
      </c>
      <c r="BG54" s="20">
        <f>BF54^2</f>
        <v>7.8530000000000006E-3</v>
      </c>
      <c r="BH54" s="9">
        <v>0.2</v>
      </c>
      <c r="BI54" s="20">
        <f>(BE54-BH54)^2</f>
        <v>3.6099999999977491E-4</v>
      </c>
      <c r="BJ54" s="11"/>
    </row>
    <row r="55" spans="10:62">
      <c r="AF55" s="11"/>
      <c r="AG55" s="11"/>
      <c r="AH55" s="11"/>
      <c r="AI55" s="11"/>
      <c r="AJ55" s="11"/>
      <c r="AK55" s="11"/>
      <c r="AL55" s="18" t="s">
        <v>67</v>
      </c>
      <c r="AM55" s="18"/>
      <c r="AN55" s="18" t="s">
        <v>67</v>
      </c>
      <c r="AO55" s="11"/>
      <c r="AP55" s="11"/>
      <c r="AQ55" s="11"/>
      <c r="AV55" s="15" t="s">
        <v>101</v>
      </c>
      <c r="AW55" s="20" t="s">
        <v>70</v>
      </c>
      <c r="AX55" s="27" t="s">
        <v>120</v>
      </c>
      <c r="AY55" s="9" t="s">
        <v>147</v>
      </c>
      <c r="AZ55" s="20" t="s">
        <v>151</v>
      </c>
      <c r="BA55" s="20">
        <v>-23.030999999999999</v>
      </c>
      <c r="BB55" s="20">
        <v>0.14299999999999999</v>
      </c>
      <c r="BC55" s="20">
        <v>-24.692</v>
      </c>
      <c r="BD55" s="20">
        <v>6.7000000000000004E-2</v>
      </c>
      <c r="BE55" s="20">
        <f>BA55-BC55</f>
        <v>1.6610000000000014</v>
      </c>
      <c r="BF55" s="20">
        <f>SQRT((BB55)^2 + (BD55)^2)</f>
        <v>0.15791770008456935</v>
      </c>
      <c r="BG55" s="20">
        <f>BF55^2</f>
        <v>2.4937999999999991E-2</v>
      </c>
      <c r="BH55" s="9">
        <v>-0.87</v>
      </c>
      <c r="BI55" s="20">
        <f>(BE55-BH55)^2</f>
        <v>6.4059610000000076</v>
      </c>
      <c r="BJ55" s="11"/>
    </row>
    <row r="56" spans="10:62">
      <c r="AF56" s="11"/>
      <c r="AG56" s="11"/>
      <c r="AH56" s="11"/>
      <c r="AI56" s="11"/>
      <c r="AJ56" s="11"/>
      <c r="AK56" s="11"/>
      <c r="AL56" s="20">
        <f>SUM(AL38:AL54)</f>
        <v>1.9496559999999998</v>
      </c>
      <c r="AM56" s="20"/>
      <c r="AN56" s="20">
        <f>SUM(AN38:AN54)</f>
        <v>32.132103999999998</v>
      </c>
      <c r="AO56" s="11"/>
      <c r="AP56" s="11"/>
      <c r="AQ56" s="11"/>
      <c r="AV56" s="15" t="s">
        <v>101</v>
      </c>
      <c r="AW56" s="20" t="s">
        <v>70</v>
      </c>
      <c r="AX56" s="27" t="s">
        <v>123</v>
      </c>
      <c r="AY56" s="9" t="s">
        <v>148</v>
      </c>
      <c r="AZ56" s="20" t="s">
        <v>152</v>
      </c>
      <c r="BA56" s="20">
        <v>-22.321000000000002</v>
      </c>
      <c r="BB56" s="20">
        <v>0.113</v>
      </c>
      <c r="BC56" s="20">
        <v>-24.713999999999999</v>
      </c>
      <c r="BD56" s="20">
        <v>0.24</v>
      </c>
      <c r="BE56" s="20">
        <f>BA56-BC56</f>
        <v>2.3929999999999971</v>
      </c>
      <c r="BF56" s="20">
        <f>SQRT((BB56)^2 + (BD56)^2)</f>
        <v>0.26527155897306443</v>
      </c>
      <c r="BG56" s="20">
        <f>BF56^2</f>
        <v>7.0369000000000001E-2</v>
      </c>
      <c r="BH56" s="9">
        <v>0.83</v>
      </c>
      <c r="BI56" s="20">
        <f>(BE56-BH56)^2</f>
        <v>2.4429689999999908</v>
      </c>
      <c r="BJ56" s="11"/>
    </row>
    <row r="57" spans="10:62">
      <c r="AF57" s="11"/>
      <c r="AG57" s="11"/>
      <c r="AH57" s="11"/>
      <c r="AI57" s="11"/>
      <c r="AJ57" s="11"/>
      <c r="AK57" s="11"/>
      <c r="AL57" s="20"/>
      <c r="AM57" s="20"/>
      <c r="AN57" s="20"/>
      <c r="AO57" s="11"/>
      <c r="AP57" s="11"/>
      <c r="AQ57" s="11"/>
      <c r="AV57" s="11"/>
      <c r="AW57" s="11"/>
      <c r="AX57" s="11"/>
      <c r="AY57" s="11"/>
      <c r="AZ57" s="11"/>
      <c r="BA57" s="11"/>
      <c r="BB57" s="11"/>
      <c r="BC57" s="11"/>
      <c r="BD57" s="11"/>
      <c r="BE57" s="11"/>
      <c r="BF57" s="11"/>
      <c r="BG57" s="18" t="s">
        <v>67</v>
      </c>
      <c r="BH57" s="18"/>
      <c r="BI57" s="18" t="s">
        <v>67</v>
      </c>
      <c r="BJ57" s="11"/>
    </row>
    <row r="58" spans="10:62" ht="17">
      <c r="J58" s="10" t="s">
        <v>80</v>
      </c>
      <c r="AF58" s="11"/>
      <c r="AG58" s="11"/>
      <c r="AH58" s="11"/>
      <c r="AI58" s="11"/>
      <c r="AJ58" s="11"/>
      <c r="AK58" s="11"/>
      <c r="AL58" s="20"/>
      <c r="AM58" s="19" t="s">
        <v>68</v>
      </c>
      <c r="AN58" s="20">
        <f>SQRT(AN56/17)</f>
        <v>1.3748177205382108</v>
      </c>
      <c r="AO58" s="11"/>
      <c r="AP58" s="11"/>
      <c r="AQ58" s="11"/>
      <c r="AV58" s="11"/>
      <c r="AW58" s="11"/>
      <c r="AX58" s="11"/>
      <c r="AY58" s="11"/>
      <c r="AZ58" s="11"/>
      <c r="BA58" s="11"/>
      <c r="BB58" s="11"/>
      <c r="BC58" s="11"/>
      <c r="BD58" s="11"/>
      <c r="BE58" s="11"/>
      <c r="BF58" s="11"/>
      <c r="BG58" s="20">
        <f>SUM(BG40:BG56)</f>
        <v>1.738003</v>
      </c>
      <c r="BH58" s="20"/>
      <c r="BI58" s="20">
        <f>SUM(BI40:BI56)</f>
        <v>29.977424999999986</v>
      </c>
      <c r="BJ58" s="11"/>
    </row>
    <row r="59" spans="10:62">
      <c r="J59" s="12" t="s">
        <v>30</v>
      </c>
      <c r="K59" s="12" t="s">
        <v>31</v>
      </c>
      <c r="L59" s="13" t="s">
        <v>32</v>
      </c>
      <c r="M59" s="12" t="s">
        <v>33</v>
      </c>
      <c r="N59" s="12" t="s">
        <v>34</v>
      </c>
      <c r="O59" s="12" t="s">
        <v>35</v>
      </c>
      <c r="P59" s="12" t="s">
        <v>36</v>
      </c>
      <c r="Q59" s="12" t="s">
        <v>37</v>
      </c>
      <c r="R59" s="12" t="s">
        <v>38</v>
      </c>
      <c r="S59" s="12" t="s">
        <v>39</v>
      </c>
      <c r="T59" s="14" t="s">
        <v>40</v>
      </c>
      <c r="U59" s="12" t="s">
        <v>41</v>
      </c>
      <c r="V59" s="12" t="s">
        <v>42</v>
      </c>
      <c r="W59" s="12" t="s">
        <v>43</v>
      </c>
      <c r="AF59" s="11"/>
      <c r="AG59" s="11"/>
      <c r="AH59" s="11"/>
      <c r="AI59" s="11"/>
      <c r="AJ59" s="11"/>
      <c r="AK59" s="11"/>
      <c r="AL59" s="20"/>
      <c r="AM59" s="19" t="s">
        <v>40</v>
      </c>
      <c r="AN59" s="20">
        <f>SQRT(AL56/17)</f>
        <v>0.33865269386027852</v>
      </c>
      <c r="AO59" s="11"/>
      <c r="AP59" s="11"/>
      <c r="AQ59" s="11"/>
      <c r="AV59" s="11"/>
      <c r="AW59" s="11"/>
      <c r="AX59" s="11"/>
      <c r="AY59" s="11"/>
      <c r="AZ59" s="11"/>
      <c r="BA59" s="11"/>
      <c r="BB59" s="11"/>
      <c r="BC59" s="11"/>
      <c r="BD59" s="11"/>
      <c r="BE59" s="11"/>
      <c r="BF59" s="11"/>
      <c r="BG59" s="20"/>
      <c r="BH59" s="20"/>
      <c r="BI59" s="20"/>
      <c r="BJ59" s="11"/>
    </row>
    <row r="60" spans="10:62">
      <c r="J60" s="26" t="s">
        <v>45</v>
      </c>
      <c r="K60" s="26" t="s">
        <v>46</v>
      </c>
      <c r="L60" s="9" t="s">
        <v>121</v>
      </c>
      <c r="M60" s="8" t="s">
        <v>122</v>
      </c>
      <c r="N60" s="20" t="s">
        <v>140</v>
      </c>
      <c r="O60" s="20">
        <v>4.8090000000000002</v>
      </c>
      <c r="P60" s="20">
        <v>0.26900000000000002</v>
      </c>
      <c r="Q60" s="20">
        <v>6.4260000000000002</v>
      </c>
      <c r="R60" s="20">
        <v>4.2000000000000003E-2</v>
      </c>
      <c r="S60" s="20">
        <f>O60-Q60</f>
        <v>-1.617</v>
      </c>
      <c r="T60" s="20">
        <f>SQRT((P60)^2 + (R60)^2)</f>
        <v>0.27225906780123965</v>
      </c>
      <c r="U60" s="20">
        <f>T60^2</f>
        <v>7.412500000000001E-2</v>
      </c>
      <c r="V60" s="9">
        <v>0.05</v>
      </c>
      <c r="W60" s="20">
        <f>(S60-V60)^2</f>
        <v>2.7788889999999999</v>
      </c>
      <c r="AF60" s="11"/>
      <c r="AG60" s="11"/>
      <c r="AH60" s="11"/>
      <c r="AI60" s="11"/>
      <c r="AJ60" s="11"/>
      <c r="AK60" s="11"/>
      <c r="AL60" s="20"/>
      <c r="AM60" s="20"/>
      <c r="AN60" s="20"/>
      <c r="AO60" s="11"/>
      <c r="AP60" s="11"/>
      <c r="AQ60" s="11"/>
      <c r="AV60" s="11"/>
      <c r="AW60" s="11"/>
      <c r="AX60" s="11"/>
      <c r="AY60" s="11"/>
      <c r="AZ60" s="11"/>
      <c r="BA60" s="11"/>
      <c r="BB60" s="11"/>
      <c r="BC60" s="11"/>
      <c r="BD60" s="11"/>
      <c r="BE60" s="11"/>
      <c r="BF60" s="11"/>
      <c r="BG60" s="20"/>
      <c r="BH60" s="19" t="s">
        <v>68</v>
      </c>
      <c r="BI60" s="20">
        <f>SQRT(BI58/17)</f>
        <v>1.3279224153452904</v>
      </c>
      <c r="BJ60" s="11"/>
    </row>
    <row r="61" spans="10:62">
      <c r="J61" s="26" t="s">
        <v>45</v>
      </c>
      <c r="K61" s="26" t="s">
        <v>46</v>
      </c>
      <c r="L61" s="9" t="s">
        <v>126</v>
      </c>
      <c r="M61" s="8" t="s">
        <v>50</v>
      </c>
      <c r="N61" s="20" t="s">
        <v>59</v>
      </c>
      <c r="O61" s="20">
        <v>14.904</v>
      </c>
      <c r="P61" s="20">
        <v>0.217</v>
      </c>
      <c r="Q61" s="20">
        <v>12.847</v>
      </c>
      <c r="R61" s="20">
        <v>0.21199999999999999</v>
      </c>
      <c r="S61" s="20">
        <f t="shared" ref="S61:S68" si="24">O61-Q61</f>
        <v>2.0570000000000004</v>
      </c>
      <c r="T61" s="20">
        <f t="shared" ref="T61:T68" si="25">SQRT((P61)^2 + (R61)^2)</f>
        <v>0.30336941177383064</v>
      </c>
      <c r="U61" s="20">
        <f t="shared" ref="U61:U68" si="26">T61^2</f>
        <v>9.2033000000000018E-2</v>
      </c>
      <c r="V61" s="9">
        <v>0.35</v>
      </c>
      <c r="W61" s="20">
        <f t="shared" ref="W61:W68" si="27">(S61-V61)^2</f>
        <v>2.9138490000000008</v>
      </c>
      <c r="AF61" s="11"/>
      <c r="AG61" s="11"/>
      <c r="AH61" s="11"/>
      <c r="AI61" s="11"/>
      <c r="AJ61" s="11"/>
      <c r="AK61" s="11"/>
      <c r="AL61" s="11"/>
      <c r="AM61" s="11"/>
      <c r="AN61" s="11"/>
      <c r="AO61" s="11"/>
      <c r="AP61" s="11"/>
      <c r="AQ61" s="11"/>
      <c r="AV61" s="11"/>
      <c r="AW61" s="11"/>
      <c r="AX61" s="11"/>
      <c r="AY61" s="11"/>
      <c r="AZ61" s="11"/>
      <c r="BA61" s="11"/>
      <c r="BB61" s="11"/>
      <c r="BC61" s="11"/>
      <c r="BD61" s="11"/>
      <c r="BE61" s="11"/>
      <c r="BF61" s="11"/>
      <c r="BG61" s="20"/>
      <c r="BH61" s="19" t="s">
        <v>40</v>
      </c>
      <c r="BI61" s="20">
        <f>SQRT(BG58/17)</f>
        <v>0.31974281944749799</v>
      </c>
      <c r="BJ61" s="11"/>
    </row>
    <row r="62" spans="10:62" ht="17">
      <c r="J62" s="26" t="s">
        <v>45</v>
      </c>
      <c r="K62" s="26" t="s">
        <v>46</v>
      </c>
      <c r="L62" s="9" t="s">
        <v>127</v>
      </c>
      <c r="M62" s="8" t="s">
        <v>51</v>
      </c>
      <c r="N62" s="20" t="s">
        <v>60</v>
      </c>
      <c r="O62" s="20">
        <v>-5.4009999999999998</v>
      </c>
      <c r="P62" s="20">
        <v>0.26500000000000001</v>
      </c>
      <c r="Q62" s="20">
        <v>-5.7939999999999996</v>
      </c>
      <c r="R62" s="20">
        <v>8.1000000000000003E-2</v>
      </c>
      <c r="S62" s="20">
        <f t="shared" si="24"/>
        <v>0.39299999999999979</v>
      </c>
      <c r="T62" s="20">
        <f t="shared" si="25"/>
        <v>0.27710286898550873</v>
      </c>
      <c r="U62" s="20">
        <f t="shared" si="26"/>
        <v>7.6786000000000021E-2</v>
      </c>
      <c r="V62" s="9">
        <v>1.25</v>
      </c>
      <c r="W62" s="20">
        <f t="shared" si="27"/>
        <v>0.73444900000000035</v>
      </c>
      <c r="AA62" s="10" t="s">
        <v>157</v>
      </c>
      <c r="AF62" s="11"/>
      <c r="AG62" s="11"/>
      <c r="AH62" s="11"/>
      <c r="AI62" s="11"/>
      <c r="AJ62" s="11"/>
      <c r="AK62" s="11"/>
      <c r="AL62" s="11"/>
      <c r="AM62" s="11"/>
      <c r="AN62" s="11"/>
      <c r="AO62" s="11"/>
      <c r="AP62" s="11"/>
      <c r="AQ62" s="11"/>
      <c r="AV62" s="11"/>
      <c r="AW62" s="11"/>
      <c r="AX62" s="11"/>
      <c r="AY62" s="11"/>
      <c r="AZ62" s="11"/>
      <c r="BA62" s="11"/>
      <c r="BB62" s="11"/>
      <c r="BC62" s="11"/>
      <c r="BD62" s="11"/>
      <c r="BE62" s="11"/>
      <c r="BF62" s="11"/>
      <c r="BG62" s="11"/>
      <c r="BH62" s="11"/>
      <c r="BI62" s="11"/>
      <c r="BJ62" s="11"/>
    </row>
    <row r="63" spans="10:62">
      <c r="J63" s="26" t="s">
        <v>45</v>
      </c>
      <c r="K63" s="26" t="s">
        <v>46</v>
      </c>
      <c r="L63" s="9" t="s">
        <v>128</v>
      </c>
      <c r="M63" s="8" t="s">
        <v>129</v>
      </c>
      <c r="N63" s="20" t="s">
        <v>61</v>
      </c>
      <c r="O63" s="20">
        <v>-5.0679999999999996</v>
      </c>
      <c r="P63" s="20">
        <v>0.16200000000000001</v>
      </c>
      <c r="Q63" s="20">
        <v>-6.867</v>
      </c>
      <c r="R63" s="20">
        <v>3.4000000000000002E-2</v>
      </c>
      <c r="S63" s="20">
        <f t="shared" si="24"/>
        <v>1.7990000000000004</v>
      </c>
      <c r="T63" s="20">
        <f t="shared" si="25"/>
        <v>0.16552945357246848</v>
      </c>
      <c r="U63" s="20">
        <f t="shared" si="26"/>
        <v>2.7399999999999997E-2</v>
      </c>
      <c r="V63" s="9">
        <v>1.1499999999999999</v>
      </c>
      <c r="W63" s="20">
        <f t="shared" si="27"/>
        <v>0.4212010000000006</v>
      </c>
      <c r="AA63" s="12" t="s">
        <v>30</v>
      </c>
      <c r="AB63" s="12" t="s">
        <v>31</v>
      </c>
      <c r="AC63" s="13" t="s">
        <v>32</v>
      </c>
      <c r="AD63" s="12" t="s">
        <v>33</v>
      </c>
      <c r="AE63" s="12" t="s">
        <v>34</v>
      </c>
      <c r="AF63" s="12" t="s">
        <v>35</v>
      </c>
      <c r="AG63" s="12" t="s">
        <v>36</v>
      </c>
      <c r="AH63" s="12" t="s">
        <v>37</v>
      </c>
      <c r="AI63" s="12" t="s">
        <v>38</v>
      </c>
      <c r="AJ63" s="12" t="s">
        <v>39</v>
      </c>
      <c r="AK63" s="14" t="s">
        <v>40</v>
      </c>
      <c r="AL63" s="12" t="s">
        <v>41</v>
      </c>
      <c r="AM63" s="12" t="s">
        <v>42</v>
      </c>
      <c r="AN63" s="12" t="s">
        <v>43</v>
      </c>
      <c r="AO63" s="11"/>
      <c r="AP63" s="11"/>
      <c r="AQ63" s="11"/>
      <c r="AV63" s="11"/>
      <c r="AW63" s="11"/>
      <c r="AX63" s="11"/>
      <c r="AY63" s="11"/>
      <c r="AZ63" s="11"/>
      <c r="BA63" s="11"/>
      <c r="BB63" s="11"/>
      <c r="BC63" s="11"/>
      <c r="BD63" s="11"/>
      <c r="BE63" s="11"/>
      <c r="BF63" s="11"/>
      <c r="BG63" s="11"/>
      <c r="BH63" s="11"/>
      <c r="BI63" s="11"/>
      <c r="BJ63" s="11"/>
    </row>
    <row r="64" spans="10:62">
      <c r="J64" s="26" t="s">
        <v>45</v>
      </c>
      <c r="K64" s="26" t="s">
        <v>46</v>
      </c>
      <c r="L64" s="9" t="s">
        <v>130</v>
      </c>
      <c r="M64" s="8" t="s">
        <v>85</v>
      </c>
      <c r="N64" s="20" t="s">
        <v>91</v>
      </c>
      <c r="O64" s="20">
        <v>-4.9720000000000004</v>
      </c>
      <c r="P64" s="20">
        <v>0.23300000000000001</v>
      </c>
      <c r="Q64" s="20">
        <v>-5.3529999999999998</v>
      </c>
      <c r="R64" s="20">
        <v>0.22600000000000001</v>
      </c>
      <c r="S64" s="20">
        <f t="shared" si="24"/>
        <v>0.38099999999999934</v>
      </c>
      <c r="T64" s="20">
        <f t="shared" si="25"/>
        <v>0.32459975354272841</v>
      </c>
      <c r="U64" s="20">
        <f t="shared" si="26"/>
        <v>0.10536500000000003</v>
      </c>
      <c r="V64" s="9">
        <v>0.86</v>
      </c>
      <c r="W64" s="20">
        <f t="shared" si="27"/>
        <v>0.22944100000000062</v>
      </c>
      <c r="AA64" s="26" t="s">
        <v>101</v>
      </c>
      <c r="AB64" s="26" t="s">
        <v>46</v>
      </c>
      <c r="AC64" s="16" t="s">
        <v>11</v>
      </c>
      <c r="AD64" s="3" t="s">
        <v>84</v>
      </c>
      <c r="AE64" s="1" t="s">
        <v>90</v>
      </c>
      <c r="AF64" s="20">
        <v>-40.853999999999999</v>
      </c>
      <c r="AG64" s="20">
        <v>0.308</v>
      </c>
      <c r="AH64" s="20">
        <v>-42.293999999999997</v>
      </c>
      <c r="AI64" s="20">
        <v>9.8000000000000004E-2</v>
      </c>
      <c r="AJ64" s="20">
        <f t="shared" ref="AJ64:AJ74" si="28">AF64-AH64</f>
        <v>1.4399999999999977</v>
      </c>
      <c r="AK64" s="20">
        <f t="shared" ref="AK64:AK74" si="29">SQRT((AG64)^2 + (AI64)^2)</f>
        <v>0.32321509865722547</v>
      </c>
      <c r="AL64" s="20">
        <f t="shared" ref="AL64:AL74" si="30">AK64^2</f>
        <v>0.10446799999999999</v>
      </c>
      <c r="AM64" s="9">
        <v>1.33</v>
      </c>
      <c r="AN64" s="20">
        <f t="shared" ref="AN64:AN74" si="31">(AJ64-AM64)^2</f>
        <v>1.2099999999999484E-2</v>
      </c>
      <c r="AO64" s="11"/>
      <c r="AP64" s="11"/>
      <c r="AQ64" s="11"/>
      <c r="AV64" s="11"/>
      <c r="AW64" s="11"/>
      <c r="AX64" s="11"/>
      <c r="AY64" s="11"/>
      <c r="AZ64" s="11"/>
      <c r="BA64" s="11"/>
      <c r="BB64" s="11"/>
      <c r="BC64" s="11"/>
      <c r="BD64" s="11"/>
      <c r="BE64" s="11"/>
      <c r="BF64" s="11"/>
      <c r="BG64" s="11"/>
      <c r="BH64" s="11"/>
      <c r="BI64" s="11"/>
      <c r="BJ64" s="11"/>
    </row>
    <row r="65" spans="10:62">
      <c r="J65" s="26" t="s">
        <v>45</v>
      </c>
      <c r="K65" s="26" t="s">
        <v>46</v>
      </c>
      <c r="L65" s="9" t="s">
        <v>131</v>
      </c>
      <c r="M65" s="8" t="s">
        <v>132</v>
      </c>
      <c r="N65" s="20" t="s">
        <v>141</v>
      </c>
      <c r="O65" s="20">
        <v>47.298000000000002</v>
      </c>
      <c r="P65" s="20">
        <v>0.318</v>
      </c>
      <c r="Q65" s="20">
        <v>46.334000000000003</v>
      </c>
      <c r="R65" s="20">
        <v>2.7E-2</v>
      </c>
      <c r="S65" s="20">
        <f t="shared" si="24"/>
        <v>0.96399999999999864</v>
      </c>
      <c r="T65" s="20">
        <f t="shared" si="25"/>
        <v>0.31914416804948825</v>
      </c>
      <c r="U65" s="20">
        <f t="shared" si="26"/>
        <v>0.101853</v>
      </c>
      <c r="V65" s="9">
        <v>1.1100000000000001</v>
      </c>
      <c r="W65" s="20">
        <f t="shared" si="27"/>
        <v>2.1316000000000428E-2</v>
      </c>
      <c r="AA65" s="26" t="s">
        <v>82</v>
      </c>
      <c r="AB65" s="26" t="s">
        <v>46</v>
      </c>
      <c r="AC65" s="16" t="s">
        <v>121</v>
      </c>
      <c r="AD65" s="3" t="s">
        <v>122</v>
      </c>
      <c r="AE65" s="1" t="s">
        <v>140</v>
      </c>
      <c r="AF65" s="20">
        <v>5.5069999999999997</v>
      </c>
      <c r="AG65" s="20">
        <v>0.38500000000000001</v>
      </c>
      <c r="AH65" s="20">
        <v>6.383</v>
      </c>
      <c r="AI65" s="20">
        <v>0.16400000000000001</v>
      </c>
      <c r="AJ65" s="20">
        <f t="shared" si="28"/>
        <v>-0.87600000000000033</v>
      </c>
      <c r="AK65" s="20">
        <f t="shared" si="29"/>
        <v>0.41847461093834593</v>
      </c>
      <c r="AL65" s="20">
        <f t="shared" si="30"/>
        <v>0.175121</v>
      </c>
      <c r="AM65" s="9">
        <v>0.05</v>
      </c>
      <c r="AN65" s="20">
        <f t="shared" si="31"/>
        <v>0.85747600000000068</v>
      </c>
      <c r="AO65" s="11"/>
      <c r="AP65" s="11"/>
      <c r="AQ65" s="11"/>
      <c r="AV65" s="11"/>
      <c r="AW65" s="11"/>
      <c r="AX65" s="11"/>
      <c r="AY65" s="11"/>
      <c r="AZ65" s="11"/>
      <c r="BA65" s="11"/>
      <c r="BB65" s="11"/>
      <c r="BC65" s="11"/>
      <c r="BD65" s="11"/>
      <c r="BE65" s="11"/>
      <c r="BF65" s="11"/>
      <c r="BG65" s="11"/>
      <c r="BH65" s="11"/>
      <c r="BI65" s="11"/>
      <c r="BJ65" s="11"/>
    </row>
    <row r="66" spans="10:62">
      <c r="J66" s="26" t="s">
        <v>45</v>
      </c>
      <c r="K66" s="26" t="s">
        <v>46</v>
      </c>
      <c r="L66" s="9" t="s">
        <v>133</v>
      </c>
      <c r="M66" s="8" t="s">
        <v>53</v>
      </c>
      <c r="N66" s="20" t="s">
        <v>62</v>
      </c>
      <c r="O66" s="20">
        <v>47.186</v>
      </c>
      <c r="P66" s="20">
        <v>0.23499999999999999</v>
      </c>
      <c r="Q66" s="20">
        <v>45.956000000000003</v>
      </c>
      <c r="R66" s="20">
        <v>6.5000000000000002E-2</v>
      </c>
      <c r="S66" s="20">
        <f t="shared" si="24"/>
        <v>1.2299999999999969</v>
      </c>
      <c r="T66" s="20">
        <f t="shared" si="25"/>
        <v>0.24382370680473217</v>
      </c>
      <c r="U66" s="20">
        <f t="shared" si="26"/>
        <v>5.9449999999999996E-2</v>
      </c>
      <c r="V66" s="9">
        <v>0.55000000000000004</v>
      </c>
      <c r="W66" s="20">
        <f t="shared" si="27"/>
        <v>0.4623999999999957</v>
      </c>
      <c r="AA66" s="26" t="s">
        <v>101</v>
      </c>
      <c r="AB66" s="26" t="s">
        <v>46</v>
      </c>
      <c r="AC66" s="16" t="s">
        <v>124</v>
      </c>
      <c r="AD66" s="3" t="s">
        <v>125</v>
      </c>
      <c r="AE66" s="1" t="s">
        <v>58</v>
      </c>
      <c r="AF66" s="20">
        <v>-39.872999999999998</v>
      </c>
      <c r="AG66" s="20">
        <v>0.33900000000000002</v>
      </c>
      <c r="AH66" s="20">
        <v>-42.363</v>
      </c>
      <c r="AI66" s="20">
        <v>4.7E-2</v>
      </c>
      <c r="AJ66" s="20">
        <f t="shared" si="28"/>
        <v>2.490000000000002</v>
      </c>
      <c r="AK66" s="20">
        <f t="shared" si="29"/>
        <v>0.34224260401066375</v>
      </c>
      <c r="AL66" s="20">
        <f t="shared" si="30"/>
        <v>0.11713</v>
      </c>
      <c r="AM66" s="9">
        <v>0.76</v>
      </c>
      <c r="AN66" s="20">
        <f t="shared" si="31"/>
        <v>2.9929000000000068</v>
      </c>
      <c r="AO66" s="11"/>
      <c r="AP66" s="11"/>
      <c r="AQ66" s="11"/>
      <c r="AV66" s="11"/>
      <c r="AW66" s="11"/>
      <c r="AX66" s="11"/>
      <c r="AY66" s="11"/>
      <c r="AZ66" s="11"/>
      <c r="BA66" s="11"/>
      <c r="BB66" s="11"/>
      <c r="BC66" s="11"/>
      <c r="BD66" s="11"/>
      <c r="BE66" s="11"/>
      <c r="BF66" s="11"/>
      <c r="BG66" s="11"/>
      <c r="BH66" s="11"/>
      <c r="BI66" s="11"/>
      <c r="BJ66" s="11"/>
    </row>
    <row r="67" spans="10:62">
      <c r="J67" s="26" t="s">
        <v>45</v>
      </c>
      <c r="K67" s="26" t="s">
        <v>46</v>
      </c>
      <c r="L67" s="9" t="s">
        <v>134</v>
      </c>
      <c r="M67" s="8" t="s">
        <v>135</v>
      </c>
      <c r="N67" s="20" t="s">
        <v>142</v>
      </c>
      <c r="O67" s="20">
        <v>46.652999999999999</v>
      </c>
      <c r="P67" s="20">
        <v>8.8999999999999996E-2</v>
      </c>
      <c r="Q67" s="20">
        <v>46.851999999999997</v>
      </c>
      <c r="R67" s="20">
        <v>0.14299999999999999</v>
      </c>
      <c r="S67" s="20">
        <f t="shared" si="24"/>
        <v>-0.19899999999999807</v>
      </c>
      <c r="T67" s="20">
        <f t="shared" si="25"/>
        <v>0.16843396332094068</v>
      </c>
      <c r="U67" s="20">
        <f t="shared" si="26"/>
        <v>2.8369999999999992E-2</v>
      </c>
      <c r="V67" s="9">
        <v>0.09</v>
      </c>
      <c r="W67" s="20">
        <f t="shared" si="27"/>
        <v>8.352099999999886E-2</v>
      </c>
      <c r="AA67" s="26" t="s">
        <v>82</v>
      </c>
      <c r="AB67" s="26" t="s">
        <v>46</v>
      </c>
      <c r="AC67" s="16" t="s">
        <v>126</v>
      </c>
      <c r="AD67" s="3" t="s">
        <v>50</v>
      </c>
      <c r="AE67" s="1" t="s">
        <v>59</v>
      </c>
      <c r="AF67" s="20">
        <v>15.722</v>
      </c>
      <c r="AG67" s="20">
        <v>0.17100000000000001</v>
      </c>
      <c r="AH67" s="20">
        <v>13.2</v>
      </c>
      <c r="AI67" s="20">
        <v>0.107</v>
      </c>
      <c r="AJ67" s="20">
        <f t="shared" si="28"/>
        <v>2.5220000000000002</v>
      </c>
      <c r="AK67" s="20">
        <f t="shared" si="29"/>
        <v>0.20171762441591465</v>
      </c>
      <c r="AL67" s="20">
        <f t="shared" si="30"/>
        <v>4.0690000000000004E-2</v>
      </c>
      <c r="AM67" s="9">
        <v>0.35</v>
      </c>
      <c r="AN67" s="20">
        <f t="shared" si="31"/>
        <v>4.7175840000000004</v>
      </c>
      <c r="AO67" s="11"/>
      <c r="AP67" s="11"/>
      <c r="AQ67" s="11"/>
      <c r="AV67" s="11"/>
      <c r="AW67" s="11"/>
      <c r="AX67" s="11"/>
      <c r="AY67" s="11"/>
      <c r="AZ67" s="11"/>
      <c r="BA67" s="11"/>
      <c r="BB67" s="11"/>
      <c r="BC67" s="11"/>
      <c r="BD67" s="11"/>
      <c r="BE67" s="11"/>
      <c r="BF67" s="11"/>
      <c r="BG67" s="11"/>
      <c r="BH67" s="11"/>
      <c r="BI67" s="11"/>
      <c r="BJ67" s="11"/>
    </row>
    <row r="68" spans="10:62" ht="17">
      <c r="J68" s="26" t="s">
        <v>45</v>
      </c>
      <c r="K68" s="26" t="s">
        <v>46</v>
      </c>
      <c r="L68" s="9" t="s">
        <v>136</v>
      </c>
      <c r="M68" s="8" t="s">
        <v>137</v>
      </c>
      <c r="N68" s="20" t="s">
        <v>143</v>
      </c>
      <c r="O68" s="20">
        <v>-8.3559999999999999</v>
      </c>
      <c r="P68" s="20">
        <v>0.153</v>
      </c>
      <c r="Q68" s="20">
        <v>-7.9059999999999997</v>
      </c>
      <c r="R68" s="20">
        <v>0.33300000000000002</v>
      </c>
      <c r="S68" s="20">
        <f t="shared" si="24"/>
        <v>-0.45000000000000018</v>
      </c>
      <c r="T68" s="20">
        <f t="shared" si="25"/>
        <v>0.36646691528704201</v>
      </c>
      <c r="U68" s="20">
        <f t="shared" si="26"/>
        <v>0.13429800000000003</v>
      </c>
      <c r="V68" s="9">
        <v>0.83</v>
      </c>
      <c r="W68" s="20">
        <f t="shared" si="27"/>
        <v>1.6384000000000007</v>
      </c>
      <c r="AA68" s="26" t="s">
        <v>82</v>
      </c>
      <c r="AB68" s="26" t="s">
        <v>46</v>
      </c>
      <c r="AC68" s="16" t="s">
        <v>127</v>
      </c>
      <c r="AD68" s="3" t="s">
        <v>51</v>
      </c>
      <c r="AE68" s="1" t="s">
        <v>60</v>
      </c>
      <c r="AF68" s="20">
        <v>-5.3150000000000004</v>
      </c>
      <c r="AG68" s="20">
        <v>0.23</v>
      </c>
      <c r="AH68" s="20">
        <v>-5.7530000000000001</v>
      </c>
      <c r="AI68" s="20">
        <v>7.6999999999999999E-2</v>
      </c>
      <c r="AJ68" s="20">
        <f t="shared" si="28"/>
        <v>0.43799999999999972</v>
      </c>
      <c r="AK68" s="20">
        <f t="shared" si="29"/>
        <v>0.24254690268069803</v>
      </c>
      <c r="AL68" s="20">
        <f t="shared" si="30"/>
        <v>5.8829000000000006E-2</v>
      </c>
      <c r="AM68" s="9">
        <v>1.25</v>
      </c>
      <c r="AN68" s="20">
        <f t="shared" si="31"/>
        <v>0.65934400000000049</v>
      </c>
      <c r="AO68" s="11"/>
      <c r="AP68" s="11"/>
      <c r="AQ68" s="11"/>
      <c r="AV68" s="10" t="s">
        <v>114</v>
      </c>
      <c r="AW68" s="11"/>
      <c r="AX68" s="11"/>
      <c r="AY68" s="11"/>
      <c r="AZ68" s="11"/>
      <c r="BA68" s="11"/>
      <c r="BB68" s="11"/>
      <c r="BC68" s="11"/>
      <c r="BD68" s="11"/>
      <c r="BE68" s="11"/>
      <c r="BF68" s="11"/>
      <c r="BG68" s="11"/>
      <c r="BH68" s="11"/>
      <c r="BI68" s="11"/>
      <c r="BJ68" s="11"/>
    </row>
    <row r="69" spans="10:62">
      <c r="J69" s="15" t="s">
        <v>45</v>
      </c>
      <c r="K69" s="1" t="s">
        <v>70</v>
      </c>
      <c r="L69" s="16" t="s">
        <v>4</v>
      </c>
      <c r="M69" s="16" t="s">
        <v>145</v>
      </c>
      <c r="N69" s="20" t="s">
        <v>149</v>
      </c>
      <c r="O69" s="20">
        <v>46.567999999999998</v>
      </c>
      <c r="P69" s="20">
        <v>0.13700000000000001</v>
      </c>
      <c r="Q69" s="20">
        <v>46.350999999999999</v>
      </c>
      <c r="R69" s="20">
        <v>0.06</v>
      </c>
      <c r="S69" s="20">
        <f>O69-Q69</f>
        <v>0.21699999999999875</v>
      </c>
      <c r="T69" s="20">
        <f>SQRT((P69)^2 + (R69)^2)</f>
        <v>0.14956269588369955</v>
      </c>
      <c r="U69" s="20">
        <f>T69^2</f>
        <v>2.2369E-2</v>
      </c>
      <c r="V69" s="9">
        <v>-0.22</v>
      </c>
      <c r="W69" s="20">
        <f>(S69-V69)^2</f>
        <v>0.19096899999999889</v>
      </c>
      <c r="AA69" s="26" t="s">
        <v>82</v>
      </c>
      <c r="AB69" s="26" t="s">
        <v>46</v>
      </c>
      <c r="AC69" s="16" t="s">
        <v>128</v>
      </c>
      <c r="AD69" s="3" t="s">
        <v>129</v>
      </c>
      <c r="AE69" s="1" t="s">
        <v>61</v>
      </c>
      <c r="AF69" s="20">
        <v>-5.4610000000000003</v>
      </c>
      <c r="AG69" s="20">
        <v>6.9000000000000006E-2</v>
      </c>
      <c r="AH69" s="20">
        <v>-6.91</v>
      </c>
      <c r="AI69" s="20">
        <v>4.4999999999999998E-2</v>
      </c>
      <c r="AJ69" s="20">
        <f t="shared" si="28"/>
        <v>1.4489999999999998</v>
      </c>
      <c r="AK69" s="20">
        <f t="shared" si="29"/>
        <v>8.2377181306475894E-2</v>
      </c>
      <c r="AL69" s="20">
        <f t="shared" si="30"/>
        <v>6.7860000000000012E-3</v>
      </c>
      <c r="AM69" s="9">
        <v>1.1499999999999999</v>
      </c>
      <c r="AN69" s="20">
        <f t="shared" si="31"/>
        <v>8.9400999999999953E-2</v>
      </c>
      <c r="AO69" s="11"/>
      <c r="AP69" s="11"/>
      <c r="AQ69" s="11"/>
      <c r="AV69" s="12" t="s">
        <v>30</v>
      </c>
      <c r="AW69" s="12" t="s">
        <v>31</v>
      </c>
      <c r="AX69" s="13" t="s">
        <v>32</v>
      </c>
      <c r="AY69" s="12" t="s">
        <v>33</v>
      </c>
      <c r="AZ69" s="12" t="s">
        <v>34</v>
      </c>
      <c r="BA69" s="12" t="s">
        <v>35</v>
      </c>
      <c r="BB69" s="12" t="s">
        <v>36</v>
      </c>
      <c r="BC69" s="12" t="s">
        <v>37</v>
      </c>
      <c r="BD69" s="12" t="s">
        <v>38</v>
      </c>
      <c r="BE69" s="12" t="s">
        <v>39</v>
      </c>
      <c r="BF69" s="14" t="s">
        <v>40</v>
      </c>
      <c r="BG69" s="12" t="s">
        <v>41</v>
      </c>
      <c r="BH69" s="12" t="s">
        <v>42</v>
      </c>
      <c r="BI69" s="12" t="s">
        <v>43</v>
      </c>
      <c r="BJ69" s="11"/>
    </row>
    <row r="70" spans="10:62">
      <c r="J70" s="15" t="s">
        <v>45</v>
      </c>
      <c r="K70" s="1" t="s">
        <v>70</v>
      </c>
      <c r="L70" s="16" t="s">
        <v>119</v>
      </c>
      <c r="M70" s="16" t="s">
        <v>146</v>
      </c>
      <c r="N70" s="20" t="s">
        <v>150</v>
      </c>
      <c r="O70" s="20">
        <v>68.072000000000003</v>
      </c>
      <c r="P70" s="20">
        <v>9.4E-2</v>
      </c>
      <c r="Q70" s="20">
        <v>68.706000000000003</v>
      </c>
      <c r="R70" s="20">
        <v>0.115</v>
      </c>
      <c r="S70" s="20">
        <f>O70-Q70</f>
        <v>-0.63400000000000034</v>
      </c>
      <c r="T70" s="20">
        <f>SQRT((P70)^2 + (R70)^2)</f>
        <v>0.14852945835759315</v>
      </c>
      <c r="U70" s="20">
        <f>T70^2</f>
        <v>2.2060999999999997E-2</v>
      </c>
      <c r="V70" s="9">
        <v>0.2</v>
      </c>
      <c r="W70" s="20">
        <f>(S70-V70)^2</f>
        <v>0.69555600000000051</v>
      </c>
      <c r="AA70" s="26" t="s">
        <v>82</v>
      </c>
      <c r="AB70" s="26" t="s">
        <v>46</v>
      </c>
      <c r="AC70" s="16" t="s">
        <v>130</v>
      </c>
      <c r="AD70" s="3" t="s">
        <v>85</v>
      </c>
      <c r="AE70" s="1" t="s">
        <v>91</v>
      </c>
      <c r="AF70" s="20">
        <v>-5.7610000000000001</v>
      </c>
      <c r="AG70" s="20">
        <v>0.127</v>
      </c>
      <c r="AH70" s="20">
        <v>-5.8780000000000001</v>
      </c>
      <c r="AI70" s="20">
        <v>0.34499999999999997</v>
      </c>
      <c r="AJ70" s="20">
        <f t="shared" si="28"/>
        <v>0.11699999999999999</v>
      </c>
      <c r="AK70" s="20">
        <f t="shared" si="29"/>
        <v>0.36763296914177862</v>
      </c>
      <c r="AL70" s="20">
        <f t="shared" si="30"/>
        <v>0.13515399999999994</v>
      </c>
      <c r="AM70" s="9">
        <v>0.86</v>
      </c>
      <c r="AN70" s="20">
        <f t="shared" si="31"/>
        <v>0.55204900000000001</v>
      </c>
      <c r="AO70" s="11"/>
      <c r="AP70" s="11"/>
      <c r="AQ70" s="11"/>
      <c r="AV70" s="26" t="s">
        <v>101</v>
      </c>
      <c r="AW70" s="26" t="s">
        <v>46</v>
      </c>
      <c r="AX70" s="9" t="s">
        <v>11</v>
      </c>
      <c r="AY70" s="8" t="s">
        <v>84</v>
      </c>
      <c r="AZ70" s="20" t="s">
        <v>90</v>
      </c>
      <c r="BA70" s="20">
        <v>-40.853999999999999</v>
      </c>
      <c r="BB70" s="20">
        <v>0.308</v>
      </c>
      <c r="BC70" s="20">
        <v>-42.293999999999997</v>
      </c>
      <c r="BD70" s="20">
        <v>9.8000000000000004E-2</v>
      </c>
      <c r="BE70" s="20">
        <f t="shared" ref="BE70:BE80" si="32">BA70-BC70</f>
        <v>1.4399999999999977</v>
      </c>
      <c r="BF70" s="20">
        <f t="shared" ref="BF70:BF80" si="33">SQRT((BB70)^2 + (BD70)^2)</f>
        <v>0.32321509865722547</v>
      </c>
      <c r="BG70" s="20">
        <f t="shared" ref="BG70:BG80" si="34">BF70^2</f>
        <v>0.10446799999999999</v>
      </c>
      <c r="BH70" s="9">
        <v>1.33</v>
      </c>
      <c r="BI70" s="20">
        <f t="shared" ref="BI70:BI80" si="35">(BE70-BH70)^2</f>
        <v>1.2099999999999484E-2</v>
      </c>
      <c r="BJ70" s="11"/>
    </row>
    <row r="71" spans="10:62">
      <c r="N71" s="20"/>
      <c r="O71" s="20"/>
      <c r="P71" s="20"/>
      <c r="Q71" s="20"/>
      <c r="R71" s="20"/>
      <c r="S71" s="20"/>
      <c r="T71" s="20"/>
      <c r="U71" s="18" t="s">
        <v>67</v>
      </c>
      <c r="V71" s="18"/>
      <c r="W71" s="18" t="s">
        <v>67</v>
      </c>
      <c r="AA71" s="26" t="s">
        <v>82</v>
      </c>
      <c r="AB71" s="26" t="s">
        <v>46</v>
      </c>
      <c r="AC71" s="16" t="s">
        <v>131</v>
      </c>
      <c r="AD71" s="3" t="s">
        <v>132</v>
      </c>
      <c r="AE71" s="1" t="s">
        <v>141</v>
      </c>
      <c r="AF71" s="20">
        <v>47.466999999999999</v>
      </c>
      <c r="AG71" s="20">
        <v>9.4E-2</v>
      </c>
      <c r="AH71" s="20">
        <v>46.307000000000002</v>
      </c>
      <c r="AI71" s="20">
        <v>4.3999999999999997E-2</v>
      </c>
      <c r="AJ71" s="20">
        <f t="shared" si="28"/>
        <v>1.1599999999999966</v>
      </c>
      <c r="AK71" s="20">
        <f t="shared" si="29"/>
        <v>0.10378824596263297</v>
      </c>
      <c r="AL71" s="20">
        <f t="shared" si="30"/>
        <v>1.0772E-2</v>
      </c>
      <c r="AM71" s="9">
        <v>1.1100000000000001</v>
      </c>
      <c r="AN71" s="20">
        <f t="shared" si="31"/>
        <v>2.4999999999996492E-3</v>
      </c>
      <c r="AO71" s="11"/>
      <c r="AP71" s="11"/>
      <c r="AQ71" s="11"/>
      <c r="AV71" s="26" t="s">
        <v>101</v>
      </c>
      <c r="AW71" s="26" t="s">
        <v>46</v>
      </c>
      <c r="AX71" s="9" t="s">
        <v>121</v>
      </c>
      <c r="AY71" s="8" t="s">
        <v>122</v>
      </c>
      <c r="AZ71" s="20" t="s">
        <v>140</v>
      </c>
      <c r="BA71" s="20">
        <v>5.8849999999999998</v>
      </c>
      <c r="BB71" s="20">
        <v>0.308</v>
      </c>
      <c r="BC71" s="20">
        <v>6.0949999999999998</v>
      </c>
      <c r="BD71" s="20">
        <v>5.8999999999999997E-2</v>
      </c>
      <c r="BE71" s="20">
        <f t="shared" si="32"/>
        <v>-0.20999999999999996</v>
      </c>
      <c r="BF71" s="20">
        <f t="shared" si="33"/>
        <v>0.3136000637755037</v>
      </c>
      <c r="BG71" s="20">
        <f t="shared" si="34"/>
        <v>9.8344999999999988E-2</v>
      </c>
      <c r="BH71" s="9">
        <v>0.05</v>
      </c>
      <c r="BI71" s="20">
        <f t="shared" si="35"/>
        <v>6.759999999999998E-2</v>
      </c>
      <c r="BJ71" s="11"/>
    </row>
    <row r="72" spans="10:62">
      <c r="N72" s="20"/>
      <c r="O72" s="20"/>
      <c r="P72" s="20"/>
      <c r="Q72" s="20"/>
      <c r="R72" s="20"/>
      <c r="S72" s="20"/>
      <c r="T72" s="20"/>
      <c r="U72" s="20">
        <f>SUM(U60:U70)</f>
        <v>0.74411000000000005</v>
      </c>
      <c r="V72" s="20"/>
      <c r="W72" s="20">
        <f>SUM(W60:W70)</f>
        <v>10.169990999999998</v>
      </c>
      <c r="AA72" s="26" t="s">
        <v>82</v>
      </c>
      <c r="AB72" s="26" t="s">
        <v>46</v>
      </c>
      <c r="AC72" s="16" t="s">
        <v>133</v>
      </c>
      <c r="AD72" s="3" t="s">
        <v>53</v>
      </c>
      <c r="AE72" s="1" t="s">
        <v>62</v>
      </c>
      <c r="AF72" s="20">
        <v>46.466999999999999</v>
      </c>
      <c r="AG72" s="20">
        <v>0.20399999999999999</v>
      </c>
      <c r="AH72" s="20">
        <v>45.91</v>
      </c>
      <c r="AI72" s="20">
        <v>4.7E-2</v>
      </c>
      <c r="AJ72" s="20">
        <f t="shared" si="28"/>
        <v>0.55700000000000216</v>
      </c>
      <c r="AK72" s="20">
        <f t="shared" si="29"/>
        <v>0.20934421415458321</v>
      </c>
      <c r="AL72" s="20">
        <f t="shared" si="30"/>
        <v>4.3824999999999996E-2</v>
      </c>
      <c r="AM72" s="9">
        <v>0.55000000000000004</v>
      </c>
      <c r="AN72" s="20">
        <f t="shared" si="31"/>
        <v>4.9000000000029617E-5</v>
      </c>
      <c r="AO72" s="11"/>
      <c r="AP72" s="11"/>
      <c r="AQ72" s="11"/>
      <c r="AV72" s="26" t="s">
        <v>101</v>
      </c>
      <c r="AW72" s="26" t="s">
        <v>46</v>
      </c>
      <c r="AX72" s="9" t="s">
        <v>124</v>
      </c>
      <c r="AY72" s="8" t="s">
        <v>125</v>
      </c>
      <c r="AZ72" s="20" t="s">
        <v>58</v>
      </c>
      <c r="BA72" s="20">
        <v>-39.872999999999998</v>
      </c>
      <c r="BB72" s="20">
        <v>0.33900000000000002</v>
      </c>
      <c r="BC72" s="20">
        <v>-42.363</v>
      </c>
      <c r="BD72" s="20">
        <v>4.7E-2</v>
      </c>
      <c r="BE72" s="20">
        <f t="shared" si="32"/>
        <v>2.490000000000002</v>
      </c>
      <c r="BF72" s="20">
        <f t="shared" si="33"/>
        <v>0.34224260401066375</v>
      </c>
      <c r="BG72" s="20">
        <f t="shared" si="34"/>
        <v>0.11713</v>
      </c>
      <c r="BH72" s="9">
        <v>0.76</v>
      </c>
      <c r="BI72" s="20">
        <f t="shared" si="35"/>
        <v>2.9929000000000068</v>
      </c>
      <c r="BJ72" s="11"/>
    </row>
    <row r="73" spans="10:62">
      <c r="N73" s="20"/>
      <c r="O73" s="20"/>
      <c r="P73" s="20"/>
      <c r="Q73" s="20"/>
      <c r="R73" s="20"/>
      <c r="S73" s="20"/>
      <c r="T73" s="20"/>
      <c r="U73" s="20"/>
      <c r="V73" s="20"/>
      <c r="W73" s="20"/>
      <c r="AA73" s="26" t="s">
        <v>82</v>
      </c>
      <c r="AB73" s="26" t="s">
        <v>46</v>
      </c>
      <c r="AC73" s="16" t="s">
        <v>134</v>
      </c>
      <c r="AD73" s="3" t="s">
        <v>135</v>
      </c>
      <c r="AE73" s="1" t="s">
        <v>142</v>
      </c>
      <c r="AF73" s="20">
        <v>46.451000000000001</v>
      </c>
      <c r="AG73" s="20">
        <v>5.8999999999999997E-2</v>
      </c>
      <c r="AH73" s="20">
        <v>46.646999999999998</v>
      </c>
      <c r="AI73" s="20">
        <v>3.5000000000000003E-2</v>
      </c>
      <c r="AJ73" s="20">
        <f t="shared" si="28"/>
        <v>-0.19599999999999795</v>
      </c>
      <c r="AK73" s="20">
        <f t="shared" si="29"/>
        <v>6.860029154456998E-2</v>
      </c>
      <c r="AL73" s="20">
        <f t="shared" si="30"/>
        <v>4.7059999999999992E-3</v>
      </c>
      <c r="AM73" s="9">
        <v>0.09</v>
      </c>
      <c r="AN73" s="20">
        <f t="shared" si="31"/>
        <v>8.1795999999998814E-2</v>
      </c>
      <c r="AO73" s="11"/>
      <c r="AP73" s="11"/>
      <c r="AQ73" s="11"/>
      <c r="AV73" s="26" t="s">
        <v>101</v>
      </c>
      <c r="AW73" s="26" t="s">
        <v>46</v>
      </c>
      <c r="AX73" s="9" t="s">
        <v>126</v>
      </c>
      <c r="AY73" s="8" t="s">
        <v>50</v>
      </c>
      <c r="AZ73" s="20" t="s">
        <v>59</v>
      </c>
      <c r="BA73" s="20">
        <v>15.317</v>
      </c>
      <c r="BB73" s="20">
        <v>0.129</v>
      </c>
      <c r="BC73" s="20">
        <v>13.378</v>
      </c>
      <c r="BD73" s="20">
        <v>4.4999999999999998E-2</v>
      </c>
      <c r="BE73" s="20">
        <f t="shared" si="32"/>
        <v>1.9390000000000001</v>
      </c>
      <c r="BF73" s="20">
        <f t="shared" si="33"/>
        <v>0.1366235704408284</v>
      </c>
      <c r="BG73" s="20">
        <f t="shared" si="34"/>
        <v>1.8665999999999999E-2</v>
      </c>
      <c r="BH73" s="9">
        <v>0.35</v>
      </c>
      <c r="BI73" s="20">
        <f t="shared" si="35"/>
        <v>2.524921</v>
      </c>
      <c r="BJ73" s="11"/>
    </row>
    <row r="74" spans="10:62">
      <c r="N74" s="20"/>
      <c r="O74" s="20"/>
      <c r="P74" s="20"/>
      <c r="Q74" s="20"/>
      <c r="R74" s="20"/>
      <c r="S74" s="20"/>
      <c r="T74" s="20"/>
      <c r="U74" s="20"/>
      <c r="V74" s="19" t="s">
        <v>68</v>
      </c>
      <c r="W74" s="20">
        <f>SQRT(W72/11)</f>
        <v>0.96153244165947727</v>
      </c>
      <c r="AA74" s="26" t="s">
        <v>82</v>
      </c>
      <c r="AB74" s="26" t="s">
        <v>46</v>
      </c>
      <c r="AC74" s="16" t="s">
        <v>136</v>
      </c>
      <c r="AD74" s="3" t="s">
        <v>137</v>
      </c>
      <c r="AE74" s="1" t="s">
        <v>143</v>
      </c>
      <c r="AF74" s="20">
        <v>-8.4580000000000002</v>
      </c>
      <c r="AG74" s="20">
        <v>0.1</v>
      </c>
      <c r="AH74" s="20">
        <v>-8.6940000000000008</v>
      </c>
      <c r="AI74" s="20">
        <v>0.13100000000000001</v>
      </c>
      <c r="AJ74" s="20">
        <f t="shared" si="28"/>
        <v>0.23600000000000065</v>
      </c>
      <c r="AK74" s="20">
        <f t="shared" si="29"/>
        <v>0.1648059464946578</v>
      </c>
      <c r="AL74" s="20">
        <f t="shared" si="30"/>
        <v>2.7161000000000008E-2</v>
      </c>
      <c r="AM74" s="9">
        <v>0.83</v>
      </c>
      <c r="AN74" s="20">
        <f t="shared" si="31"/>
        <v>0.35283599999999915</v>
      </c>
      <c r="AO74" s="11"/>
      <c r="AP74" s="11"/>
      <c r="AQ74" s="11"/>
      <c r="AV74" s="26" t="s">
        <v>101</v>
      </c>
      <c r="AW74" s="26" t="s">
        <v>46</v>
      </c>
      <c r="AX74" s="9" t="s">
        <v>127</v>
      </c>
      <c r="AY74" s="8" t="s">
        <v>51</v>
      </c>
      <c r="AZ74" s="20" t="s">
        <v>60</v>
      </c>
      <c r="BA74" s="20">
        <v>-5.3380000000000001</v>
      </c>
      <c r="BB74" s="20">
        <v>0.11</v>
      </c>
      <c r="BC74" s="20">
        <v>-5.7450000000000001</v>
      </c>
      <c r="BD74" s="20">
        <v>2.9000000000000001E-2</v>
      </c>
      <c r="BE74" s="20">
        <f t="shared" si="32"/>
        <v>0.40700000000000003</v>
      </c>
      <c r="BF74" s="20">
        <f t="shared" si="33"/>
        <v>0.113758516164725</v>
      </c>
      <c r="BG74" s="20">
        <f t="shared" si="34"/>
        <v>1.2940999999999999E-2</v>
      </c>
      <c r="BH74" s="9">
        <v>1.25</v>
      </c>
      <c r="BI74" s="20">
        <f t="shared" si="35"/>
        <v>0.71064899999999998</v>
      </c>
      <c r="BJ74" s="11"/>
    </row>
    <row r="75" spans="10:62">
      <c r="N75" s="20"/>
      <c r="O75" s="20"/>
      <c r="P75" s="20"/>
      <c r="Q75" s="20"/>
      <c r="R75" s="20"/>
      <c r="S75" s="20"/>
      <c r="T75" s="20"/>
      <c r="U75" s="20"/>
      <c r="V75" s="19" t="s">
        <v>40</v>
      </c>
      <c r="W75" s="20">
        <f>SQRT(U72/11)</f>
        <v>0.26008914555660267</v>
      </c>
      <c r="AA75" s="15" t="s">
        <v>82</v>
      </c>
      <c r="AB75" s="1" t="s">
        <v>70</v>
      </c>
      <c r="AC75" s="16" t="s">
        <v>4</v>
      </c>
      <c r="AD75" s="16" t="s">
        <v>145</v>
      </c>
      <c r="AE75" s="1" t="s">
        <v>149</v>
      </c>
      <c r="AF75" s="1">
        <v>46.143999999999998</v>
      </c>
      <c r="AG75" s="1">
        <v>6.0999999999999999E-2</v>
      </c>
      <c r="AH75" s="20">
        <v>46.198999999999998</v>
      </c>
      <c r="AI75" s="20">
        <v>0.114</v>
      </c>
      <c r="AJ75" s="20">
        <f>AF75-AH75</f>
        <v>-5.4999999999999716E-2</v>
      </c>
      <c r="AK75" s="20">
        <f>SQRT((AG75)^2 + (AI75)^2)</f>
        <v>0.12929423807734047</v>
      </c>
      <c r="AL75" s="20">
        <f>AK75^2</f>
        <v>1.6716999999999999E-2</v>
      </c>
      <c r="AM75" s="9">
        <v>-0.22</v>
      </c>
      <c r="AN75" s="20">
        <f>(AJ75-AM75)^2</f>
        <v>2.7225000000000093E-2</v>
      </c>
      <c r="AO75" s="11"/>
      <c r="AP75" s="11"/>
      <c r="AQ75" s="11"/>
      <c r="AV75" s="26" t="s">
        <v>101</v>
      </c>
      <c r="AW75" s="26" t="s">
        <v>46</v>
      </c>
      <c r="AX75" s="9" t="s">
        <v>128</v>
      </c>
      <c r="AY75" s="8" t="s">
        <v>129</v>
      </c>
      <c r="AZ75" s="20" t="s">
        <v>61</v>
      </c>
      <c r="BA75" s="20">
        <v>-5.5890000000000004</v>
      </c>
      <c r="BB75" s="20">
        <v>0.156</v>
      </c>
      <c r="BC75" s="20">
        <v>-7.125</v>
      </c>
      <c r="BD75" s="20">
        <v>0.09</v>
      </c>
      <c r="BE75" s="20">
        <f t="shared" si="32"/>
        <v>1.5359999999999996</v>
      </c>
      <c r="BF75" s="20">
        <f t="shared" si="33"/>
        <v>0.18009997223764362</v>
      </c>
      <c r="BG75" s="20">
        <f t="shared" si="34"/>
        <v>3.2436000000000006E-2</v>
      </c>
      <c r="BH75" s="9">
        <v>1.1499999999999999</v>
      </c>
      <c r="BI75" s="20">
        <f t="shared" si="35"/>
        <v>0.14899599999999974</v>
      </c>
      <c r="BJ75" s="11"/>
    </row>
    <row r="76" spans="10:62">
      <c r="AA76" s="15" t="s">
        <v>82</v>
      </c>
      <c r="AB76" s="1" t="s">
        <v>70</v>
      </c>
      <c r="AC76" s="16" t="s">
        <v>119</v>
      </c>
      <c r="AD76" s="16" t="s">
        <v>146</v>
      </c>
      <c r="AE76" s="1" t="s">
        <v>150</v>
      </c>
      <c r="AF76" s="1">
        <v>68.542000000000002</v>
      </c>
      <c r="AG76" s="1">
        <v>5.6000000000000001E-2</v>
      </c>
      <c r="AH76" s="20">
        <v>68.394000000000005</v>
      </c>
      <c r="AI76" s="20">
        <v>9.2999999999999999E-2</v>
      </c>
      <c r="AJ76" s="20">
        <f>AF76-AH76</f>
        <v>0.14799999999999613</v>
      </c>
      <c r="AK76" s="20">
        <f>SQRT((AG76)^2 + (AI76)^2)</f>
        <v>0.10855873986004075</v>
      </c>
      <c r="AL76" s="20">
        <f>AK76^2</f>
        <v>1.1785E-2</v>
      </c>
      <c r="AM76" s="9">
        <v>0.2</v>
      </c>
      <c r="AN76" s="20">
        <f>(AJ76-AM76)^2</f>
        <v>2.7040000000004031E-3</v>
      </c>
      <c r="AV76" s="26" t="s">
        <v>101</v>
      </c>
      <c r="AW76" s="26" t="s">
        <v>46</v>
      </c>
      <c r="AX76" s="9" t="s">
        <v>130</v>
      </c>
      <c r="AY76" s="8" t="s">
        <v>85</v>
      </c>
      <c r="AZ76" s="20" t="s">
        <v>91</v>
      </c>
      <c r="BA76" s="20">
        <v>-6.0170000000000003</v>
      </c>
      <c r="BB76" s="20">
        <v>0.253</v>
      </c>
      <c r="BC76" s="20">
        <v>-6.242</v>
      </c>
      <c r="BD76" s="20">
        <v>0.157</v>
      </c>
      <c r="BE76" s="20">
        <f t="shared" si="32"/>
        <v>0.22499999999999964</v>
      </c>
      <c r="BF76" s="20">
        <f t="shared" si="33"/>
        <v>0.29775493278869453</v>
      </c>
      <c r="BG76" s="20">
        <f t="shared" si="34"/>
        <v>8.8658000000000001E-2</v>
      </c>
      <c r="BH76" s="9">
        <v>0.86</v>
      </c>
      <c r="BI76" s="20">
        <f t="shared" si="35"/>
        <v>0.40322500000000044</v>
      </c>
      <c r="BJ76" s="11"/>
    </row>
    <row r="77" spans="10:62">
      <c r="AL77" s="18" t="s">
        <v>67</v>
      </c>
      <c r="AM77" s="18"/>
      <c r="AN77" s="18" t="s">
        <v>67</v>
      </c>
      <c r="AV77" s="26" t="s">
        <v>101</v>
      </c>
      <c r="AW77" s="26" t="s">
        <v>46</v>
      </c>
      <c r="AX77" s="9" t="s">
        <v>131</v>
      </c>
      <c r="AY77" s="8" t="s">
        <v>132</v>
      </c>
      <c r="AZ77" s="20" t="s">
        <v>141</v>
      </c>
      <c r="BA77" s="20">
        <v>46.832000000000001</v>
      </c>
      <c r="BB77" s="20">
        <v>0.127</v>
      </c>
      <c r="BC77" s="20">
        <v>46.286999999999999</v>
      </c>
      <c r="BD77" s="20">
        <v>3.1E-2</v>
      </c>
      <c r="BE77" s="20">
        <f t="shared" si="32"/>
        <v>0.54500000000000171</v>
      </c>
      <c r="BF77" s="20">
        <f t="shared" si="33"/>
        <v>0.130728726758888</v>
      </c>
      <c r="BG77" s="20">
        <f t="shared" si="34"/>
        <v>1.7089999999999998E-2</v>
      </c>
      <c r="BH77" s="9">
        <v>1.1100000000000001</v>
      </c>
      <c r="BI77" s="20">
        <f t="shared" si="35"/>
        <v>0.3192249999999982</v>
      </c>
      <c r="BJ77" s="11"/>
    </row>
    <row r="78" spans="10:62">
      <c r="AL78" s="20">
        <f>SUM(AL64:AL76)</f>
        <v>0.75314399999999992</v>
      </c>
      <c r="AM78" s="20"/>
      <c r="AN78" s="20">
        <f>SUM(AN64:AN76)</f>
        <v>10.347964000000006</v>
      </c>
      <c r="AV78" s="26" t="s">
        <v>101</v>
      </c>
      <c r="AW78" s="26" t="s">
        <v>46</v>
      </c>
      <c r="AX78" s="9" t="s">
        <v>133</v>
      </c>
      <c r="AY78" s="8" t="s">
        <v>53</v>
      </c>
      <c r="AZ78" s="20" t="s">
        <v>62</v>
      </c>
      <c r="BA78" s="20">
        <v>46.542000000000002</v>
      </c>
      <c r="BB78" s="20">
        <v>0.13200000000000001</v>
      </c>
      <c r="BC78" s="20">
        <v>45.902999999999999</v>
      </c>
      <c r="BD78" s="20">
        <v>6.6000000000000003E-2</v>
      </c>
      <c r="BE78" s="20">
        <f t="shared" si="32"/>
        <v>0.6390000000000029</v>
      </c>
      <c r="BF78" s="20">
        <f t="shared" si="33"/>
        <v>0.14758048651498612</v>
      </c>
      <c r="BG78" s="20">
        <f t="shared" si="34"/>
        <v>2.1780000000000001E-2</v>
      </c>
      <c r="BH78" s="9">
        <v>0.55000000000000004</v>
      </c>
      <c r="BI78" s="20">
        <f t="shared" si="35"/>
        <v>7.9210000000005075E-3</v>
      </c>
      <c r="BJ78" s="11"/>
    </row>
    <row r="79" spans="10:62">
      <c r="AL79" s="20"/>
      <c r="AM79" s="20"/>
      <c r="AN79" s="20"/>
      <c r="AV79" s="26" t="s">
        <v>101</v>
      </c>
      <c r="AW79" s="26" t="s">
        <v>46</v>
      </c>
      <c r="AX79" s="9" t="s">
        <v>134</v>
      </c>
      <c r="AY79" s="8" t="s">
        <v>135</v>
      </c>
      <c r="AZ79" s="20" t="s">
        <v>142</v>
      </c>
      <c r="BA79" s="20">
        <v>46.750999999999998</v>
      </c>
      <c r="BB79" s="20">
        <v>5.7000000000000002E-2</v>
      </c>
      <c r="BC79" s="20">
        <v>46.564</v>
      </c>
      <c r="BD79" s="20">
        <v>2.8000000000000001E-2</v>
      </c>
      <c r="BE79" s="20">
        <f t="shared" si="32"/>
        <v>0.18699999999999761</v>
      </c>
      <c r="BF79" s="20">
        <f t="shared" si="33"/>
        <v>6.3505905237229709E-2</v>
      </c>
      <c r="BG79" s="20">
        <f t="shared" si="34"/>
        <v>4.0330000000000001E-3</v>
      </c>
      <c r="BH79" s="9">
        <v>0.09</v>
      </c>
      <c r="BI79" s="20">
        <f t="shared" si="35"/>
        <v>9.4089999999995375E-3</v>
      </c>
      <c r="BJ79" s="11"/>
    </row>
    <row r="80" spans="10:62">
      <c r="AL80" s="20"/>
      <c r="AM80" s="19" t="s">
        <v>68</v>
      </c>
      <c r="AN80" s="20">
        <f>SQRT(AN78/13)</f>
        <v>0.89218676899471627</v>
      </c>
      <c r="AV80" s="26" t="s">
        <v>101</v>
      </c>
      <c r="AW80" s="26" t="s">
        <v>46</v>
      </c>
      <c r="AX80" s="9" t="s">
        <v>136</v>
      </c>
      <c r="AY80" s="8" t="s">
        <v>137</v>
      </c>
      <c r="AZ80" s="20" t="s">
        <v>143</v>
      </c>
      <c r="BA80" s="20">
        <v>-8.7379999999999995</v>
      </c>
      <c r="BB80" s="20">
        <v>9.0999999999999998E-2</v>
      </c>
      <c r="BC80" s="20">
        <v>-8.6549999999999994</v>
      </c>
      <c r="BD80" s="20">
        <v>3.5000000000000003E-2</v>
      </c>
      <c r="BE80" s="20">
        <f t="shared" si="32"/>
        <v>-8.3000000000000185E-2</v>
      </c>
      <c r="BF80" s="20">
        <f t="shared" si="33"/>
        <v>9.7498717940288832E-2</v>
      </c>
      <c r="BG80" s="20">
        <f t="shared" si="34"/>
        <v>9.5059999999999988E-3</v>
      </c>
      <c r="BH80" s="9">
        <v>0.83</v>
      </c>
      <c r="BI80" s="20">
        <f t="shared" si="35"/>
        <v>0.83356900000000023</v>
      </c>
      <c r="BJ80" s="11"/>
    </row>
    <row r="81" spans="38:62">
      <c r="AL81" s="20"/>
      <c r="AM81" s="19" t="s">
        <v>40</v>
      </c>
      <c r="AN81" s="20">
        <f>SQRT(AL78/13)</f>
        <v>0.24069514711799622</v>
      </c>
      <c r="AV81" s="15" t="s">
        <v>101</v>
      </c>
      <c r="AW81" s="20" t="s">
        <v>70</v>
      </c>
      <c r="AX81" s="9" t="s">
        <v>4</v>
      </c>
      <c r="AY81" s="9" t="s">
        <v>145</v>
      </c>
      <c r="AZ81" s="20" t="s">
        <v>149</v>
      </c>
      <c r="BA81" s="20">
        <v>46.195999999999998</v>
      </c>
      <c r="BB81" s="20">
        <v>6.7000000000000004E-2</v>
      </c>
      <c r="BC81" s="20">
        <v>46.012999999999998</v>
      </c>
      <c r="BD81" s="20">
        <v>6.4000000000000001E-2</v>
      </c>
      <c r="BE81" s="20">
        <f>BA81-BC81</f>
        <v>0.18299999999999983</v>
      </c>
      <c r="BF81" s="20">
        <f>SQRT((BB81)^2 + (BD81)^2)</f>
        <v>9.2655275079188026E-2</v>
      </c>
      <c r="BG81" s="20">
        <f>BF81^2</f>
        <v>8.5850000000000024E-3</v>
      </c>
      <c r="BH81" s="9">
        <v>-0.22</v>
      </c>
      <c r="BI81" s="20">
        <f>(BE81-BH81)^2</f>
        <v>0.16240899999999983</v>
      </c>
      <c r="BJ81" s="11"/>
    </row>
    <row r="82" spans="38:62">
      <c r="AL82" s="20"/>
      <c r="AM82" s="20"/>
      <c r="AN82" s="20"/>
      <c r="AV82" s="15" t="s">
        <v>101</v>
      </c>
      <c r="AW82" s="20" t="s">
        <v>70</v>
      </c>
      <c r="AX82" s="9" t="s">
        <v>119</v>
      </c>
      <c r="AY82" s="9" t="s">
        <v>146</v>
      </c>
      <c r="AZ82" s="20" t="s">
        <v>150</v>
      </c>
      <c r="BA82" s="20">
        <v>68.662999999999997</v>
      </c>
      <c r="BB82" s="20">
        <v>6.7000000000000004E-2</v>
      </c>
      <c r="BC82" s="20">
        <v>68.444000000000003</v>
      </c>
      <c r="BD82" s="20">
        <v>5.8000000000000003E-2</v>
      </c>
      <c r="BE82" s="20">
        <f>BA82-BC82</f>
        <v>0.21899999999999409</v>
      </c>
      <c r="BF82" s="20">
        <f>SQRT((BB82)^2 + (BD82)^2)</f>
        <v>8.8617154095581296E-2</v>
      </c>
      <c r="BG82" s="20">
        <f>BF82^2</f>
        <v>7.8530000000000006E-3</v>
      </c>
      <c r="BH82" s="9">
        <v>0.2</v>
      </c>
      <c r="BI82" s="20">
        <f>(BE82-BH82)^2</f>
        <v>3.6099999999977491E-4</v>
      </c>
      <c r="BJ82" s="11"/>
    </row>
    <row r="83" spans="38:62">
      <c r="AL83" s="20"/>
      <c r="AM83" s="20"/>
      <c r="AN83" s="20"/>
      <c r="AV83" s="11"/>
      <c r="AW83" s="11"/>
      <c r="AX83" s="11"/>
      <c r="AY83" s="11"/>
      <c r="AZ83" s="11"/>
      <c r="BA83" s="11"/>
      <c r="BB83" s="11"/>
      <c r="BC83" s="11"/>
      <c r="BD83" s="11"/>
      <c r="BE83" s="11"/>
      <c r="BF83" s="11"/>
      <c r="BG83" s="18" t="s">
        <v>67</v>
      </c>
      <c r="BH83" s="18"/>
      <c r="BI83" s="18" t="s">
        <v>67</v>
      </c>
      <c r="BJ83" s="11"/>
    </row>
    <row r="84" spans="38:62">
      <c r="BG84" s="20">
        <f>SUM(BG70:BG82)</f>
        <v>0.54149099999999994</v>
      </c>
      <c r="BH84" s="1"/>
      <c r="BI84" s="20">
        <f>SUM(BI70:BI82)</f>
        <v>8.1932850000000048</v>
      </c>
    </row>
    <row r="85" spans="38:62">
      <c r="BG85" s="1"/>
      <c r="BH85" s="1"/>
      <c r="BI85" s="1"/>
    </row>
    <row r="86" spans="38:62">
      <c r="BG86" s="1"/>
      <c r="BH86" s="19" t="s">
        <v>68</v>
      </c>
      <c r="BI86" s="20">
        <f>SQRT(BI84/13)</f>
        <v>0.79388455855224482</v>
      </c>
    </row>
    <row r="87" spans="38:62">
      <c r="BG87" s="1"/>
      <c r="BH87" s="19" t="s">
        <v>40</v>
      </c>
      <c r="BI87" s="20">
        <f>SQRT(BG84/13)</f>
        <v>0.20409104303264716</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7C81-244B-0C49-A585-B60197FEF400}">
  <dimension ref="A1:BJ86"/>
  <sheetViews>
    <sheetView topLeftCell="AU1" workbookViewId="0">
      <selection sqref="A1:F16"/>
    </sheetView>
  </sheetViews>
  <sheetFormatPr baseColWidth="10" defaultRowHeight="16"/>
  <cols>
    <col min="1" max="1" width="25.83203125" customWidth="1"/>
    <col min="2" max="2" width="42.6640625" customWidth="1"/>
    <col min="3" max="3" width="20" customWidth="1"/>
    <col min="4" max="4" width="31.5" customWidth="1"/>
    <col min="5" max="5" width="43.83203125" customWidth="1"/>
    <col min="6" max="6" width="16.5" customWidth="1"/>
    <col min="11" max="11" width="12.33203125" customWidth="1"/>
    <col min="12" max="12" width="17.5" customWidth="1"/>
    <col min="15" max="15" width="18.33203125" customWidth="1"/>
    <col min="16" max="16" width="18.83203125" customWidth="1"/>
    <col min="17" max="17" width="14.1640625" customWidth="1"/>
    <col min="18" max="18" width="22" customWidth="1"/>
    <col min="20" max="20" width="12.83203125" customWidth="1"/>
    <col min="21" max="21" width="15.5" customWidth="1"/>
    <col min="23" max="23" width="16.83203125" customWidth="1"/>
    <col min="24" max="24" width="17" customWidth="1"/>
    <col min="29" max="29" width="20.5" customWidth="1"/>
    <col min="30" max="30" width="11.33203125" customWidth="1"/>
    <col min="32" max="32" width="14.6640625" customWidth="1"/>
    <col min="33" max="33" width="22.33203125" customWidth="1"/>
    <col min="34" max="34" width="13.33203125" customWidth="1"/>
    <col min="35" max="35" width="20.5" customWidth="1"/>
    <col min="37" max="37" width="14.6640625" customWidth="1"/>
    <col min="38" max="38" width="15.5" customWidth="1"/>
    <col min="40" max="40" width="15.5" customWidth="1"/>
    <col min="41" max="41" width="19.33203125" customWidth="1"/>
    <col min="50" max="50" width="18" customWidth="1"/>
    <col min="53" max="53" width="15.1640625" customWidth="1"/>
    <col min="54" max="54" width="20.83203125" customWidth="1"/>
    <col min="55" max="55" width="16.1640625" customWidth="1"/>
    <col min="56" max="56" width="19.6640625" customWidth="1"/>
    <col min="58" max="58" width="11.33203125" customWidth="1"/>
    <col min="59" max="59" width="15.33203125" customWidth="1"/>
    <col min="61" max="61" width="15.6640625" customWidth="1"/>
    <col min="62" max="62" width="19.5" customWidth="1"/>
  </cols>
  <sheetData>
    <row r="1" spans="1:62" ht="17">
      <c r="A1" s="2" t="s">
        <v>158</v>
      </c>
      <c r="B1" s="2" t="s">
        <v>159</v>
      </c>
      <c r="C1" s="2" t="s">
        <v>2</v>
      </c>
      <c r="D1" s="2" t="s">
        <v>160</v>
      </c>
      <c r="E1" s="2" t="s">
        <v>161</v>
      </c>
      <c r="F1" s="2" t="s">
        <v>2</v>
      </c>
      <c r="J1" s="10" t="s">
        <v>29</v>
      </c>
      <c r="K1" s="11"/>
      <c r="L1" s="11"/>
      <c r="M1" s="11"/>
      <c r="N1" s="11"/>
      <c r="O1" s="11"/>
      <c r="P1" s="11"/>
      <c r="Q1" s="11"/>
      <c r="R1" s="11"/>
      <c r="S1" s="11"/>
      <c r="T1" s="11"/>
      <c r="U1" s="11"/>
      <c r="V1" s="11"/>
      <c r="W1" s="11"/>
      <c r="X1" s="11"/>
      <c r="AA1" s="10" t="s">
        <v>81</v>
      </c>
      <c r="AB1" s="11"/>
      <c r="AC1" s="11"/>
      <c r="AD1" s="11"/>
      <c r="AE1" s="11"/>
      <c r="AF1" s="11"/>
      <c r="AG1" s="11"/>
      <c r="AH1" s="11"/>
      <c r="AI1" s="11"/>
      <c r="AJ1" s="11"/>
      <c r="AK1" s="11"/>
      <c r="AL1" s="11"/>
      <c r="AM1" s="11"/>
      <c r="AN1" s="11"/>
      <c r="AO1" s="11"/>
      <c r="AV1" s="10" t="s">
        <v>111</v>
      </c>
      <c r="AW1" s="11"/>
      <c r="AX1" s="11"/>
      <c r="AY1" s="11"/>
      <c r="AZ1" s="11"/>
      <c r="BA1" s="11"/>
      <c r="BB1" s="11"/>
      <c r="BC1" s="11"/>
      <c r="BD1" s="11"/>
      <c r="BE1" s="11"/>
      <c r="BF1" s="11"/>
      <c r="BG1" s="11"/>
      <c r="BH1" s="11"/>
      <c r="BI1" s="11"/>
      <c r="BJ1" s="11"/>
    </row>
    <row r="2" spans="1:62">
      <c r="A2" s="3" t="s">
        <v>14</v>
      </c>
      <c r="B2" s="3">
        <v>526</v>
      </c>
      <c r="C2" s="3">
        <v>-0.51</v>
      </c>
      <c r="D2" s="3" t="s">
        <v>162</v>
      </c>
      <c r="E2" s="3">
        <v>332</v>
      </c>
      <c r="F2" s="3">
        <v>0.56999999999999995</v>
      </c>
      <c r="J2" s="12" t="s">
        <v>30</v>
      </c>
      <c r="K2" s="12" t="s">
        <v>31</v>
      </c>
      <c r="L2" s="13" t="s">
        <v>32</v>
      </c>
      <c r="M2" s="12" t="s">
        <v>33</v>
      </c>
      <c r="N2" s="12" t="s">
        <v>34</v>
      </c>
      <c r="O2" s="12" t="s">
        <v>35</v>
      </c>
      <c r="P2" s="12" t="s">
        <v>36</v>
      </c>
      <c r="Q2" s="12" t="s">
        <v>37</v>
      </c>
      <c r="R2" s="12" t="s">
        <v>38</v>
      </c>
      <c r="S2" s="12" t="s">
        <v>39</v>
      </c>
      <c r="T2" s="14" t="s">
        <v>40</v>
      </c>
      <c r="U2" s="12" t="s">
        <v>41</v>
      </c>
      <c r="V2" s="12" t="s">
        <v>42</v>
      </c>
      <c r="W2" s="12" t="s">
        <v>43</v>
      </c>
      <c r="X2" s="12" t="s">
        <v>44</v>
      </c>
      <c r="AA2" s="12" t="s">
        <v>30</v>
      </c>
      <c r="AB2" s="12" t="s">
        <v>31</v>
      </c>
      <c r="AC2" s="13" t="s">
        <v>32</v>
      </c>
      <c r="AD2" s="12" t="s">
        <v>33</v>
      </c>
      <c r="AE2" s="12" t="s">
        <v>34</v>
      </c>
      <c r="AF2" s="12" t="s">
        <v>35</v>
      </c>
      <c r="AG2" s="12" t="s">
        <v>36</v>
      </c>
      <c r="AH2" s="12" t="s">
        <v>37</v>
      </c>
      <c r="AI2" s="12" t="s">
        <v>38</v>
      </c>
      <c r="AJ2" s="12" t="s">
        <v>39</v>
      </c>
      <c r="AK2" s="14" t="s">
        <v>40</v>
      </c>
      <c r="AL2" s="12" t="s">
        <v>41</v>
      </c>
      <c r="AM2" s="12" t="s">
        <v>42</v>
      </c>
      <c r="AN2" s="12" t="s">
        <v>43</v>
      </c>
      <c r="AO2" s="12" t="s">
        <v>44</v>
      </c>
      <c r="AV2" s="12" t="s">
        <v>30</v>
      </c>
      <c r="AW2" s="12" t="s">
        <v>31</v>
      </c>
      <c r="AX2" s="13" t="s">
        <v>32</v>
      </c>
      <c r="AY2" s="12" t="s">
        <v>33</v>
      </c>
      <c r="AZ2" s="12" t="s">
        <v>34</v>
      </c>
      <c r="BA2" s="12" t="s">
        <v>35</v>
      </c>
      <c r="BB2" s="12" t="s">
        <v>36</v>
      </c>
      <c r="BC2" s="12" t="s">
        <v>37</v>
      </c>
      <c r="BD2" s="12" t="s">
        <v>38</v>
      </c>
      <c r="BE2" s="12" t="s">
        <v>39</v>
      </c>
      <c r="BF2" s="14" t="s">
        <v>40</v>
      </c>
      <c r="BG2" s="12" t="s">
        <v>41</v>
      </c>
      <c r="BH2" s="12" t="s">
        <v>42</v>
      </c>
      <c r="BI2" s="12" t="s">
        <v>43</v>
      </c>
      <c r="BJ2" s="12" t="s">
        <v>44</v>
      </c>
    </row>
    <row r="3" spans="1:62">
      <c r="A3" s="6" t="s">
        <v>163</v>
      </c>
      <c r="B3" s="3">
        <v>551</v>
      </c>
      <c r="C3" s="3">
        <v>1.1299999999999999</v>
      </c>
      <c r="D3" s="6" t="s">
        <v>9</v>
      </c>
      <c r="E3" s="3">
        <v>346</v>
      </c>
      <c r="F3" s="3">
        <v>1.07</v>
      </c>
      <c r="J3" s="26" t="s">
        <v>45</v>
      </c>
      <c r="K3" s="26" t="s">
        <v>46</v>
      </c>
      <c r="L3" s="4" t="s">
        <v>11</v>
      </c>
      <c r="M3" s="3" t="s">
        <v>176</v>
      </c>
      <c r="N3" s="1" t="s">
        <v>186</v>
      </c>
      <c r="O3" s="20">
        <v>-37.261000000000003</v>
      </c>
      <c r="P3" s="20">
        <v>0.48699999999999999</v>
      </c>
      <c r="Q3" s="20">
        <v>-42.448999999999998</v>
      </c>
      <c r="R3" s="20">
        <v>0.443</v>
      </c>
      <c r="S3" s="20">
        <f>O3-Q3</f>
        <v>5.1879999999999953</v>
      </c>
      <c r="T3" s="20">
        <f>SQRT((P3)^2 + (R3)^2)</f>
        <v>0.65834489441325506</v>
      </c>
      <c r="U3" s="20">
        <f>T3^2</f>
        <v>0.43341799999999997</v>
      </c>
      <c r="V3" s="8">
        <v>1.53</v>
      </c>
      <c r="W3" s="20">
        <f>(S3-V3)^2</f>
        <v>13.380963999999963</v>
      </c>
      <c r="X3" s="9" t="s">
        <v>66</v>
      </c>
      <c r="AA3" s="26" t="s">
        <v>82</v>
      </c>
      <c r="AB3" s="26" t="s">
        <v>46</v>
      </c>
      <c r="AC3" s="3" t="s">
        <v>162</v>
      </c>
      <c r="AD3" s="3" t="s">
        <v>199</v>
      </c>
      <c r="AE3" s="1" t="s">
        <v>202</v>
      </c>
      <c r="AF3" s="20">
        <v>4.7489999999999997</v>
      </c>
      <c r="AG3" s="20">
        <v>0.39800000000000002</v>
      </c>
      <c r="AH3" s="20">
        <v>2.6240000000000001</v>
      </c>
      <c r="AI3" s="20">
        <v>0.248</v>
      </c>
      <c r="AJ3" s="20">
        <f>AF3-AH3</f>
        <v>2.1249999999999996</v>
      </c>
      <c r="AK3" s="20">
        <f>SQRT((AG3)^2 + (AI3)^2)</f>
        <v>0.46894349339765873</v>
      </c>
      <c r="AL3" s="20">
        <f>AK3^2</f>
        <v>0.21990799999999999</v>
      </c>
      <c r="AM3" s="8">
        <v>0.56999999999999995</v>
      </c>
      <c r="AN3" s="20">
        <f>(AJ3-AM3)^2</f>
        <v>2.4180249999999992</v>
      </c>
      <c r="AO3" s="31" t="s">
        <v>211</v>
      </c>
      <c r="AP3" s="11"/>
      <c r="AV3" s="1" t="s">
        <v>101</v>
      </c>
      <c r="AW3" s="26" t="s">
        <v>46</v>
      </c>
      <c r="AX3" s="3" t="s">
        <v>162</v>
      </c>
      <c r="AY3" s="3" t="s">
        <v>199</v>
      </c>
      <c r="AZ3" s="1" t="s">
        <v>202</v>
      </c>
      <c r="BA3" s="32">
        <v>5.2770000000000001</v>
      </c>
      <c r="BB3" s="32">
        <v>0.12</v>
      </c>
      <c r="BC3" s="32">
        <v>2.081</v>
      </c>
      <c r="BD3" s="32">
        <v>0.14099999999999999</v>
      </c>
      <c r="BE3" s="32">
        <v>3.1960000000000002</v>
      </c>
      <c r="BF3" s="32">
        <v>0.18515129</v>
      </c>
      <c r="BG3" s="32">
        <v>3.4280999999999999E-2</v>
      </c>
      <c r="BH3" s="33">
        <v>0.56999999999999995</v>
      </c>
      <c r="BI3" s="32">
        <v>6.8958760000000003</v>
      </c>
      <c r="BJ3" s="31" t="s">
        <v>210</v>
      </c>
    </row>
    <row r="4" spans="1:62">
      <c r="A4" s="6" t="s">
        <v>164</v>
      </c>
      <c r="B4" s="3">
        <v>552</v>
      </c>
      <c r="C4" s="3">
        <v>0.47</v>
      </c>
      <c r="D4" s="6" t="s">
        <v>11</v>
      </c>
      <c r="E4" s="3">
        <v>349</v>
      </c>
      <c r="F4" s="3">
        <v>1.53</v>
      </c>
      <c r="J4" s="26" t="s">
        <v>45</v>
      </c>
      <c r="K4" s="26" t="s">
        <v>46</v>
      </c>
      <c r="L4" s="3" t="s">
        <v>166</v>
      </c>
      <c r="M4" s="3" t="s">
        <v>177</v>
      </c>
      <c r="N4" s="1" t="s">
        <v>58</v>
      </c>
      <c r="O4" s="20">
        <v>-3.988</v>
      </c>
      <c r="P4" s="20">
        <v>0.158</v>
      </c>
      <c r="Q4" s="20">
        <v>-3.8170000000000002</v>
      </c>
      <c r="R4" s="20">
        <v>4.9000000000000002E-2</v>
      </c>
      <c r="S4" s="20">
        <f t="shared" ref="S4:S13" si="0">O4-Q4</f>
        <v>-0.17099999999999982</v>
      </c>
      <c r="T4" s="20">
        <f t="shared" ref="T4:T13" si="1">SQRT((P4)^2 + (R4)^2)</f>
        <v>0.16542369842317031</v>
      </c>
      <c r="U4" s="20">
        <f t="shared" ref="U4:U13" si="2">T4^2</f>
        <v>2.7365E-2</v>
      </c>
      <c r="V4" s="8">
        <v>-0.82</v>
      </c>
      <c r="W4" s="20">
        <f t="shared" ref="W4:W13" si="3">(S4-V4)^2</f>
        <v>0.42120100000000016</v>
      </c>
      <c r="X4" s="9" t="s">
        <v>66</v>
      </c>
      <c r="AA4" s="1" t="s">
        <v>101</v>
      </c>
      <c r="AB4" s="26" t="s">
        <v>46</v>
      </c>
      <c r="AC4" s="4" t="s">
        <v>9</v>
      </c>
      <c r="AD4" s="3" t="s">
        <v>200</v>
      </c>
      <c r="AE4" s="1" t="s">
        <v>203</v>
      </c>
      <c r="AF4" s="20">
        <v>-38.622</v>
      </c>
      <c r="AG4" s="20">
        <v>0.70099999999999996</v>
      </c>
      <c r="AH4" s="20">
        <v>-40.954999999999998</v>
      </c>
      <c r="AI4" s="20">
        <v>0.219</v>
      </c>
      <c r="AJ4" s="20">
        <f t="shared" ref="AJ4:AJ16" si="4">AF4-AH4</f>
        <v>2.3329999999999984</v>
      </c>
      <c r="AK4" s="20">
        <f t="shared" ref="AK4:AK16" si="5">SQRT((AG4)^2 + (AI4)^2)</f>
        <v>0.73441269052216129</v>
      </c>
      <c r="AL4" s="20">
        <f t="shared" ref="AL4:AL16" si="6">AK4^2</f>
        <v>0.5393619999999999</v>
      </c>
      <c r="AM4" s="8">
        <v>1.07</v>
      </c>
      <c r="AN4" s="20">
        <f t="shared" ref="AN4:AN16" si="7">(AJ4-AM4)^2</f>
        <v>1.5951689999999958</v>
      </c>
      <c r="AO4" s="31" t="s">
        <v>207</v>
      </c>
      <c r="AP4" s="11"/>
      <c r="AV4" s="1" t="s">
        <v>101</v>
      </c>
      <c r="AW4" s="26" t="s">
        <v>46</v>
      </c>
      <c r="AX4" s="6" t="s">
        <v>9</v>
      </c>
      <c r="AY4" s="3" t="s">
        <v>200</v>
      </c>
      <c r="AZ4" s="1" t="s">
        <v>203</v>
      </c>
      <c r="BA4" s="32">
        <v>-38.622</v>
      </c>
      <c r="BB4" s="32">
        <v>0.70099999999999996</v>
      </c>
      <c r="BC4" s="32">
        <v>-40.954999999999998</v>
      </c>
      <c r="BD4" s="32">
        <v>0.219</v>
      </c>
      <c r="BE4" s="32">
        <v>2.3330000000000002</v>
      </c>
      <c r="BF4" s="32">
        <v>0.73441268999999998</v>
      </c>
      <c r="BG4" s="32">
        <v>0.53936200000000001</v>
      </c>
      <c r="BH4" s="33">
        <v>1.07</v>
      </c>
      <c r="BI4" s="32">
        <v>1.5951690000000001</v>
      </c>
      <c r="BJ4" s="31" t="s">
        <v>207</v>
      </c>
    </row>
    <row r="5" spans="1:62">
      <c r="A5" s="6" t="s">
        <v>165</v>
      </c>
      <c r="B5" s="3">
        <v>612</v>
      </c>
      <c r="C5" s="3">
        <v>0.97</v>
      </c>
      <c r="D5" s="3" t="s">
        <v>166</v>
      </c>
      <c r="E5" s="3">
        <v>353</v>
      </c>
      <c r="F5" s="3">
        <v>-0.82</v>
      </c>
      <c r="J5" s="26" t="s">
        <v>45</v>
      </c>
      <c r="K5" s="26" t="s">
        <v>46</v>
      </c>
      <c r="L5" s="3" t="s">
        <v>167</v>
      </c>
      <c r="M5" s="3" t="s">
        <v>178</v>
      </c>
      <c r="N5" s="1" t="s">
        <v>59</v>
      </c>
      <c r="O5" s="20">
        <v>12.398999999999999</v>
      </c>
      <c r="P5" s="20">
        <v>0.32400000000000001</v>
      </c>
      <c r="Q5" s="20">
        <v>12.984</v>
      </c>
      <c r="R5" s="20">
        <v>3.7999999999999999E-2</v>
      </c>
      <c r="S5" s="20">
        <f t="shared" si="0"/>
        <v>-0.58500000000000085</v>
      </c>
      <c r="T5" s="20">
        <f t="shared" si="1"/>
        <v>0.32622078413246453</v>
      </c>
      <c r="U5" s="20">
        <f t="shared" si="2"/>
        <v>0.10642000000000001</v>
      </c>
      <c r="V5" s="8">
        <v>-0.85</v>
      </c>
      <c r="W5" s="20">
        <f t="shared" si="3"/>
        <v>7.0224999999999538E-2</v>
      </c>
      <c r="X5" s="9" t="s">
        <v>66</v>
      </c>
      <c r="AA5" s="1" t="s">
        <v>101</v>
      </c>
      <c r="AB5" s="26" t="s">
        <v>46</v>
      </c>
      <c r="AC5" s="4" t="s">
        <v>11</v>
      </c>
      <c r="AD5" s="3" t="s">
        <v>176</v>
      </c>
      <c r="AE5" s="1" t="s">
        <v>186</v>
      </c>
      <c r="AF5" s="20">
        <v>-41.331000000000003</v>
      </c>
      <c r="AG5" s="20">
        <v>0.25800000000000001</v>
      </c>
      <c r="AH5" s="20">
        <v>-43.83</v>
      </c>
      <c r="AI5" s="20">
        <v>0.17</v>
      </c>
      <c r="AJ5" s="20">
        <f t="shared" si="4"/>
        <v>2.4989999999999952</v>
      </c>
      <c r="AK5" s="20">
        <f t="shared" si="5"/>
        <v>0.30897249068485044</v>
      </c>
      <c r="AL5" s="20">
        <f t="shared" si="6"/>
        <v>9.5463999999999993E-2</v>
      </c>
      <c r="AM5" s="8">
        <v>1.53</v>
      </c>
      <c r="AN5" s="20">
        <f t="shared" si="7"/>
        <v>0.93896099999999072</v>
      </c>
      <c r="AO5" s="31" t="s">
        <v>208</v>
      </c>
      <c r="AP5" s="11"/>
      <c r="AV5" s="1" t="s">
        <v>101</v>
      </c>
      <c r="AW5" s="26" t="s">
        <v>46</v>
      </c>
      <c r="AX5" s="6" t="s">
        <v>11</v>
      </c>
      <c r="AY5" s="3" t="s">
        <v>176</v>
      </c>
      <c r="AZ5" s="1" t="s">
        <v>186</v>
      </c>
      <c r="BA5" s="32">
        <v>-41.331000000000003</v>
      </c>
      <c r="BB5" s="32">
        <v>0.25800000000000001</v>
      </c>
      <c r="BC5" s="32">
        <v>-43.83</v>
      </c>
      <c r="BD5" s="32">
        <v>0.17</v>
      </c>
      <c r="BE5" s="32">
        <v>2.4990000000000001</v>
      </c>
      <c r="BF5" s="32">
        <v>0.30897248999999999</v>
      </c>
      <c r="BG5" s="32">
        <v>9.5463999999999993E-2</v>
      </c>
      <c r="BH5" s="33">
        <v>1.53</v>
      </c>
      <c r="BI5" s="32">
        <v>0.93896100000000005</v>
      </c>
      <c r="BJ5" s="31" t="s">
        <v>208</v>
      </c>
    </row>
    <row r="6" spans="1:62">
      <c r="A6" s="6" t="s">
        <v>12</v>
      </c>
      <c r="B6" s="3">
        <v>614</v>
      </c>
      <c r="C6" s="3">
        <v>0.02</v>
      </c>
      <c r="D6" s="3" t="s">
        <v>167</v>
      </c>
      <c r="E6" s="3">
        <v>354</v>
      </c>
      <c r="F6" s="3">
        <v>-0.85</v>
      </c>
      <c r="J6" s="26" t="s">
        <v>45</v>
      </c>
      <c r="K6" s="26" t="s">
        <v>46</v>
      </c>
      <c r="L6" s="3" t="s">
        <v>13</v>
      </c>
      <c r="M6" s="3" t="s">
        <v>179</v>
      </c>
      <c r="N6" s="1" t="s">
        <v>187</v>
      </c>
      <c r="O6" s="20">
        <v>16.52</v>
      </c>
      <c r="P6" s="20">
        <v>0.1</v>
      </c>
      <c r="Q6" s="20">
        <v>13.997999999999999</v>
      </c>
      <c r="R6" s="20">
        <v>5.5E-2</v>
      </c>
      <c r="S6" s="20">
        <f t="shared" si="0"/>
        <v>2.5220000000000002</v>
      </c>
      <c r="T6" s="20">
        <f t="shared" si="1"/>
        <v>0.11412712210513329</v>
      </c>
      <c r="U6" s="20">
        <f t="shared" si="2"/>
        <v>1.3025000000000004E-2</v>
      </c>
      <c r="V6" s="8">
        <v>0.46</v>
      </c>
      <c r="W6" s="20">
        <f t="shared" si="3"/>
        <v>4.2518440000000011</v>
      </c>
      <c r="X6" s="9" t="s">
        <v>66</v>
      </c>
      <c r="AA6" s="26" t="s">
        <v>82</v>
      </c>
      <c r="AB6" s="26" t="s">
        <v>46</v>
      </c>
      <c r="AC6" s="3" t="s">
        <v>166</v>
      </c>
      <c r="AD6" s="3" t="s">
        <v>125</v>
      </c>
      <c r="AE6" s="1" t="s">
        <v>204</v>
      </c>
      <c r="AF6" s="20">
        <v>-4.3090000000000002</v>
      </c>
      <c r="AG6" s="20">
        <v>0.23400000000000001</v>
      </c>
      <c r="AH6" s="20">
        <v>-4.2960000000000003</v>
      </c>
      <c r="AI6" s="20">
        <v>4.8000000000000001E-2</v>
      </c>
      <c r="AJ6" s="20">
        <f t="shared" si="4"/>
        <v>-1.2999999999999901E-2</v>
      </c>
      <c r="AK6" s="20">
        <f t="shared" si="5"/>
        <v>0.23887235084873262</v>
      </c>
      <c r="AL6" s="20">
        <f t="shared" si="6"/>
        <v>5.7060000000000013E-2</v>
      </c>
      <c r="AM6" s="8">
        <v>-0.82</v>
      </c>
      <c r="AN6" s="20">
        <f t="shared" si="7"/>
        <v>0.65124900000000008</v>
      </c>
      <c r="AO6" s="31" t="s">
        <v>211</v>
      </c>
      <c r="AP6" s="11"/>
      <c r="AV6" s="1" t="s">
        <v>101</v>
      </c>
      <c r="AW6" s="26" t="s">
        <v>46</v>
      </c>
      <c r="AX6" s="3" t="s">
        <v>166</v>
      </c>
      <c r="AY6" s="3" t="s">
        <v>125</v>
      </c>
      <c r="AZ6" s="1" t="s">
        <v>204</v>
      </c>
      <c r="BA6" s="32">
        <v>-4.3879999999999999</v>
      </c>
      <c r="BB6" s="32">
        <v>0.13300000000000001</v>
      </c>
      <c r="BC6" s="32">
        <v>-4.7889999999999997</v>
      </c>
      <c r="BD6" s="32">
        <v>0.11</v>
      </c>
      <c r="BE6" s="32">
        <v>0.40100000000000002</v>
      </c>
      <c r="BF6" s="32">
        <v>0.1725949</v>
      </c>
      <c r="BG6" s="32">
        <v>2.9789E-2</v>
      </c>
      <c r="BH6" s="33">
        <v>-0.82</v>
      </c>
      <c r="BI6" s="32">
        <v>1.4908410000000001</v>
      </c>
      <c r="BJ6" s="31" t="s">
        <v>210</v>
      </c>
    </row>
    <row r="7" spans="1:62">
      <c r="A7" s="3"/>
      <c r="B7" s="3"/>
      <c r="C7" s="3"/>
      <c r="D7" s="3" t="s">
        <v>13</v>
      </c>
      <c r="E7" s="3">
        <v>355</v>
      </c>
      <c r="F7" s="3">
        <v>0.46</v>
      </c>
      <c r="J7" s="26" t="s">
        <v>45</v>
      </c>
      <c r="K7" s="26" t="s">
        <v>46</v>
      </c>
      <c r="L7" s="3" t="s">
        <v>168</v>
      </c>
      <c r="M7" s="3" t="s">
        <v>180</v>
      </c>
      <c r="N7" s="1" t="s">
        <v>61</v>
      </c>
      <c r="O7" s="20">
        <v>-4.077</v>
      </c>
      <c r="P7" s="20">
        <v>0.14000000000000001</v>
      </c>
      <c r="Q7" s="20">
        <v>-5.0170000000000003</v>
      </c>
      <c r="R7" s="20">
        <v>3.5000000000000003E-2</v>
      </c>
      <c r="S7" s="20">
        <f t="shared" si="0"/>
        <v>0.94000000000000039</v>
      </c>
      <c r="T7" s="20">
        <f t="shared" si="1"/>
        <v>0.14430869689661813</v>
      </c>
      <c r="U7" s="20">
        <f t="shared" si="2"/>
        <v>2.0825000000000003E-2</v>
      </c>
      <c r="V7" s="8">
        <v>0.99</v>
      </c>
      <c r="W7" s="20">
        <f t="shared" si="3"/>
        <v>2.4999999999999602E-3</v>
      </c>
      <c r="X7" s="9" t="s">
        <v>66</v>
      </c>
      <c r="AA7" s="26" t="s">
        <v>82</v>
      </c>
      <c r="AB7" s="26" t="s">
        <v>46</v>
      </c>
      <c r="AC7" s="3" t="s">
        <v>167</v>
      </c>
      <c r="AD7" s="3" t="s">
        <v>178</v>
      </c>
      <c r="AE7" s="1" t="s">
        <v>59</v>
      </c>
      <c r="AF7" s="20">
        <v>12.282999999999999</v>
      </c>
      <c r="AG7" s="20">
        <v>0.18</v>
      </c>
      <c r="AH7" s="20">
        <v>12.984999999999999</v>
      </c>
      <c r="AI7" s="20">
        <v>3.4000000000000002E-2</v>
      </c>
      <c r="AJ7" s="20">
        <f t="shared" si="4"/>
        <v>-0.70199999999999996</v>
      </c>
      <c r="AK7" s="20">
        <f t="shared" si="5"/>
        <v>0.18318296864064626</v>
      </c>
      <c r="AL7" s="20">
        <f t="shared" si="6"/>
        <v>3.3555999999999989E-2</v>
      </c>
      <c r="AM7" s="8">
        <v>-0.85</v>
      </c>
      <c r="AN7" s="20">
        <f t="shared" si="7"/>
        <v>2.1904000000000007E-2</v>
      </c>
      <c r="AO7" s="31" t="s">
        <v>211</v>
      </c>
      <c r="AP7" s="11"/>
      <c r="AV7" s="1" t="s">
        <v>101</v>
      </c>
      <c r="AW7" s="26" t="s">
        <v>46</v>
      </c>
      <c r="AX7" s="3" t="s">
        <v>167</v>
      </c>
      <c r="AY7" s="3" t="s">
        <v>178</v>
      </c>
      <c r="AZ7" s="1" t="s">
        <v>59</v>
      </c>
      <c r="BA7" s="32">
        <v>12.904999999999999</v>
      </c>
      <c r="BB7" s="32">
        <v>0.27700000000000002</v>
      </c>
      <c r="BC7" s="32">
        <v>12.784000000000001</v>
      </c>
      <c r="BD7" s="32">
        <v>0.17100000000000001</v>
      </c>
      <c r="BE7" s="32">
        <v>0.121</v>
      </c>
      <c r="BF7" s="32">
        <v>0.32553033999999997</v>
      </c>
      <c r="BG7" s="32">
        <v>0.10596999999999999</v>
      </c>
      <c r="BH7" s="33">
        <v>-0.85</v>
      </c>
      <c r="BI7" s="32">
        <v>0.94284100000000004</v>
      </c>
      <c r="BJ7" s="31" t="s">
        <v>210</v>
      </c>
    </row>
    <row r="8" spans="1:62">
      <c r="A8" s="3"/>
      <c r="B8" s="3"/>
      <c r="C8" s="3"/>
      <c r="D8" s="3" t="s">
        <v>168</v>
      </c>
      <c r="E8" s="3">
        <v>357</v>
      </c>
      <c r="F8" s="3">
        <v>0.99</v>
      </c>
      <c r="J8" s="26" t="s">
        <v>45</v>
      </c>
      <c r="K8" s="26" t="s">
        <v>46</v>
      </c>
      <c r="L8" s="3" t="s">
        <v>169</v>
      </c>
      <c r="M8" s="3" t="s">
        <v>181</v>
      </c>
      <c r="N8" s="1" t="s">
        <v>91</v>
      </c>
      <c r="O8" s="20">
        <v>71.561999999999998</v>
      </c>
      <c r="P8" s="20">
        <v>0.39300000000000002</v>
      </c>
      <c r="Q8" s="20">
        <v>69.635999999999996</v>
      </c>
      <c r="R8" s="20">
        <v>7.1999999999999995E-2</v>
      </c>
      <c r="S8" s="20">
        <f t="shared" si="0"/>
        <v>1.9260000000000019</v>
      </c>
      <c r="T8" s="20">
        <f t="shared" si="1"/>
        <v>0.39954098663341159</v>
      </c>
      <c r="U8" s="20">
        <f t="shared" si="2"/>
        <v>0.15963299999999997</v>
      </c>
      <c r="V8" s="8">
        <v>1.53</v>
      </c>
      <c r="W8" s="20">
        <f t="shared" si="3"/>
        <v>0.15681600000000151</v>
      </c>
      <c r="X8" s="9" t="s">
        <v>66</v>
      </c>
      <c r="AA8" s="26" t="s">
        <v>82</v>
      </c>
      <c r="AB8" s="26" t="s">
        <v>46</v>
      </c>
      <c r="AC8" s="3" t="s">
        <v>13</v>
      </c>
      <c r="AD8" s="3" t="s">
        <v>179</v>
      </c>
      <c r="AE8" s="1" t="s">
        <v>187</v>
      </c>
      <c r="AF8" s="20">
        <v>16.119</v>
      </c>
      <c r="AG8" s="20">
        <v>0.214</v>
      </c>
      <c r="AH8" s="20">
        <v>13.843</v>
      </c>
      <c r="AI8" s="20">
        <v>9.2999999999999999E-2</v>
      </c>
      <c r="AJ8" s="20">
        <f t="shared" si="4"/>
        <v>2.2759999999999998</v>
      </c>
      <c r="AK8" s="20">
        <f t="shared" si="5"/>
        <v>0.23333452380648689</v>
      </c>
      <c r="AL8" s="20">
        <f t="shared" si="6"/>
        <v>5.4445E-2</v>
      </c>
      <c r="AM8" s="8">
        <v>0.46</v>
      </c>
      <c r="AN8" s="20">
        <f t="shared" si="7"/>
        <v>3.2978559999999995</v>
      </c>
      <c r="AO8" s="31" t="s">
        <v>211</v>
      </c>
      <c r="AP8" s="11"/>
      <c r="AV8" s="1" t="s">
        <v>101</v>
      </c>
      <c r="AW8" s="26" t="s">
        <v>46</v>
      </c>
      <c r="AX8" s="3" t="s">
        <v>13</v>
      </c>
      <c r="AY8" s="3" t="s">
        <v>179</v>
      </c>
      <c r="AZ8" s="1" t="s">
        <v>187</v>
      </c>
      <c r="BA8" s="32">
        <v>16.305</v>
      </c>
      <c r="BB8" s="32">
        <v>0.18099999999999999</v>
      </c>
      <c r="BC8" s="32">
        <v>13.923</v>
      </c>
      <c r="BD8" s="32">
        <v>4.2000000000000003E-2</v>
      </c>
      <c r="BE8" s="32">
        <v>2.3820000000000001</v>
      </c>
      <c r="BF8" s="32">
        <v>0.18580904000000001</v>
      </c>
      <c r="BG8" s="32">
        <v>3.4525E-2</v>
      </c>
      <c r="BH8" s="33">
        <v>0.46</v>
      </c>
      <c r="BI8" s="32">
        <v>3.6940840000000001</v>
      </c>
      <c r="BJ8" s="31" t="s">
        <v>210</v>
      </c>
    </row>
    <row r="9" spans="1:62">
      <c r="A9" s="3"/>
      <c r="B9" s="3"/>
      <c r="C9" s="3"/>
      <c r="D9" s="3" t="s">
        <v>169</v>
      </c>
      <c r="E9" s="3">
        <v>358</v>
      </c>
      <c r="F9" s="3">
        <v>1.53</v>
      </c>
      <c r="J9" s="26" t="s">
        <v>45</v>
      </c>
      <c r="K9" s="26" t="s">
        <v>46</v>
      </c>
      <c r="L9" s="3" t="s">
        <v>171</v>
      </c>
      <c r="M9" s="3" t="s">
        <v>86</v>
      </c>
      <c r="N9" s="1" t="s">
        <v>92</v>
      </c>
      <c r="O9" s="20">
        <v>-8.3179999999999996</v>
      </c>
      <c r="P9" s="20">
        <v>0.30099999999999999</v>
      </c>
      <c r="Q9" s="20">
        <v>-8.6479999999999997</v>
      </c>
      <c r="R9" s="20">
        <v>0.224</v>
      </c>
      <c r="S9" s="20">
        <f t="shared" si="0"/>
        <v>0.33000000000000007</v>
      </c>
      <c r="T9" s="20">
        <f t="shared" si="1"/>
        <v>0.37520261193120708</v>
      </c>
      <c r="U9" s="20">
        <f t="shared" si="2"/>
        <v>0.14077699999999999</v>
      </c>
      <c r="V9" s="8">
        <v>0.47</v>
      </c>
      <c r="W9" s="20">
        <f t="shared" si="3"/>
        <v>1.9599999999999972E-2</v>
      </c>
      <c r="X9" s="9" t="s">
        <v>66</v>
      </c>
      <c r="AA9" s="26" t="s">
        <v>82</v>
      </c>
      <c r="AB9" s="26" t="s">
        <v>46</v>
      </c>
      <c r="AC9" s="3" t="s">
        <v>168</v>
      </c>
      <c r="AD9" s="3" t="s">
        <v>180</v>
      </c>
      <c r="AE9" s="1" t="s">
        <v>61</v>
      </c>
      <c r="AF9" s="20">
        <v>-4.7889999999999997</v>
      </c>
      <c r="AG9" s="20">
        <v>9.2999999999999999E-2</v>
      </c>
      <c r="AH9" s="20">
        <v>-4.9820000000000002</v>
      </c>
      <c r="AI9" s="20">
        <v>1.9E-2</v>
      </c>
      <c r="AJ9" s="20">
        <f t="shared" si="4"/>
        <v>0.1930000000000005</v>
      </c>
      <c r="AK9" s="20">
        <f t="shared" si="5"/>
        <v>9.4921019800674286E-2</v>
      </c>
      <c r="AL9" s="20">
        <f t="shared" si="6"/>
        <v>9.0100000000000006E-3</v>
      </c>
      <c r="AM9" s="8">
        <v>0.99</v>
      </c>
      <c r="AN9" s="20">
        <f t="shared" si="7"/>
        <v>0.63520899999999914</v>
      </c>
      <c r="AO9" s="31" t="s">
        <v>211</v>
      </c>
      <c r="AP9" s="11"/>
      <c r="AV9" s="1" t="s">
        <v>101</v>
      </c>
      <c r="AW9" s="26" t="s">
        <v>46</v>
      </c>
      <c r="AX9" s="3" t="s">
        <v>168</v>
      </c>
      <c r="AY9" s="3" t="s">
        <v>180</v>
      </c>
      <c r="AZ9" s="1" t="s">
        <v>61</v>
      </c>
      <c r="BA9" s="32">
        <v>-4.8209999999999997</v>
      </c>
      <c r="BB9" s="32">
        <v>0.153</v>
      </c>
      <c r="BC9" s="32">
        <v>-5.0659999999999998</v>
      </c>
      <c r="BD9" s="32">
        <v>0.04</v>
      </c>
      <c r="BE9" s="32">
        <v>0.245</v>
      </c>
      <c r="BF9" s="32">
        <v>0.15814233999999999</v>
      </c>
      <c r="BG9" s="32">
        <v>2.5009E-2</v>
      </c>
      <c r="BH9" s="33">
        <v>0.99</v>
      </c>
      <c r="BI9" s="32">
        <v>0.55502499999999999</v>
      </c>
      <c r="BJ9" s="31" t="s">
        <v>210</v>
      </c>
    </row>
    <row r="10" spans="1:62">
      <c r="A10" s="3"/>
      <c r="B10" s="3"/>
      <c r="C10" s="3"/>
      <c r="D10" s="3" t="s">
        <v>170</v>
      </c>
      <c r="E10" s="3">
        <v>360</v>
      </c>
      <c r="F10" s="3">
        <v>0.06</v>
      </c>
      <c r="J10" s="26" t="s">
        <v>45</v>
      </c>
      <c r="K10" s="26" t="s">
        <v>46</v>
      </c>
      <c r="L10" s="3" t="s">
        <v>172</v>
      </c>
      <c r="M10" s="3" t="s">
        <v>182</v>
      </c>
      <c r="N10" s="1" t="s">
        <v>93</v>
      </c>
      <c r="O10" s="20">
        <v>10.29</v>
      </c>
      <c r="P10" s="20">
        <v>0.21099999999999999</v>
      </c>
      <c r="Q10" s="20">
        <v>10.589</v>
      </c>
      <c r="R10" s="20">
        <v>0.14000000000000001</v>
      </c>
      <c r="S10" s="20">
        <f t="shared" si="0"/>
        <v>-0.29900000000000126</v>
      </c>
      <c r="T10" s="20">
        <f t="shared" si="1"/>
        <v>0.25322124713380589</v>
      </c>
      <c r="U10" s="20">
        <f t="shared" si="2"/>
        <v>6.4120999999999997E-2</v>
      </c>
      <c r="V10" s="8">
        <v>-0.43</v>
      </c>
      <c r="W10" s="20">
        <f t="shared" si="3"/>
        <v>1.7160999999999666E-2</v>
      </c>
      <c r="X10" s="9" t="s">
        <v>66</v>
      </c>
      <c r="AA10" s="26" t="s">
        <v>82</v>
      </c>
      <c r="AB10" s="26" t="s">
        <v>46</v>
      </c>
      <c r="AC10" s="3" t="s">
        <v>169</v>
      </c>
      <c r="AD10" s="3" t="s">
        <v>181</v>
      </c>
      <c r="AE10" s="1" t="s">
        <v>91</v>
      </c>
      <c r="AF10" s="20">
        <v>70.179000000000002</v>
      </c>
      <c r="AG10" s="20">
        <v>0.24099999999999999</v>
      </c>
      <c r="AH10" s="20">
        <v>69.418000000000006</v>
      </c>
      <c r="AI10" s="20">
        <v>0.04</v>
      </c>
      <c r="AJ10" s="20">
        <f t="shared" si="4"/>
        <v>0.76099999999999568</v>
      </c>
      <c r="AK10" s="20">
        <f t="shared" si="5"/>
        <v>0.24429695045169925</v>
      </c>
      <c r="AL10" s="20">
        <f t="shared" si="6"/>
        <v>5.9680999999999998E-2</v>
      </c>
      <c r="AM10" s="8">
        <v>1.53</v>
      </c>
      <c r="AN10" s="20">
        <f t="shared" si="7"/>
        <v>0.59136100000000669</v>
      </c>
      <c r="AO10" s="31" t="s">
        <v>209</v>
      </c>
      <c r="AP10" s="11"/>
      <c r="AV10" s="1" t="s">
        <v>101</v>
      </c>
      <c r="AW10" s="26" t="s">
        <v>46</v>
      </c>
      <c r="AX10" s="3" t="s">
        <v>169</v>
      </c>
      <c r="AY10" s="3" t="s">
        <v>181</v>
      </c>
      <c r="AZ10" s="1" t="s">
        <v>91</v>
      </c>
      <c r="BA10" s="32">
        <v>69.619</v>
      </c>
      <c r="BB10" s="32">
        <v>0.185</v>
      </c>
      <c r="BC10" s="32">
        <v>69.454999999999998</v>
      </c>
      <c r="BD10" s="32">
        <v>4.5999999999999999E-2</v>
      </c>
      <c r="BE10" s="32">
        <v>0.16400000000000001</v>
      </c>
      <c r="BF10" s="32">
        <v>0.19063316</v>
      </c>
      <c r="BG10" s="32">
        <v>3.6340999999999998E-2</v>
      </c>
      <c r="BH10" s="33">
        <v>1.53</v>
      </c>
      <c r="BI10" s="32">
        <v>1.8659559999999999</v>
      </c>
      <c r="BJ10" s="31" t="s">
        <v>210</v>
      </c>
    </row>
    <row r="11" spans="1:62">
      <c r="A11" s="3"/>
      <c r="B11" s="3"/>
      <c r="C11" s="3"/>
      <c r="D11" s="3" t="s">
        <v>171</v>
      </c>
      <c r="E11" s="3">
        <v>402</v>
      </c>
      <c r="F11" s="3">
        <v>0.47</v>
      </c>
      <c r="J11" s="26" t="s">
        <v>45</v>
      </c>
      <c r="K11" s="26" t="s">
        <v>46</v>
      </c>
      <c r="L11" s="4" t="s">
        <v>173</v>
      </c>
      <c r="M11" s="3" t="s">
        <v>183</v>
      </c>
      <c r="N11" s="1" t="s">
        <v>94</v>
      </c>
      <c r="O11" s="20">
        <v>13.407</v>
      </c>
      <c r="P11" s="20">
        <v>0.13400000000000001</v>
      </c>
      <c r="Q11" s="20">
        <v>12.718</v>
      </c>
      <c r="R11" s="20">
        <v>0.216</v>
      </c>
      <c r="S11" s="20">
        <f t="shared" si="0"/>
        <v>0.68900000000000006</v>
      </c>
      <c r="T11" s="20">
        <f t="shared" si="1"/>
        <v>0.25418890613085382</v>
      </c>
      <c r="U11" s="20">
        <f t="shared" si="2"/>
        <v>6.4612000000000017E-2</v>
      </c>
      <c r="V11" s="8">
        <v>-0.27</v>
      </c>
      <c r="W11" s="20">
        <f t="shared" si="3"/>
        <v>0.91968100000000019</v>
      </c>
      <c r="X11" s="9" t="s">
        <v>66</v>
      </c>
      <c r="AA11" s="26" t="s">
        <v>82</v>
      </c>
      <c r="AB11" s="26" t="s">
        <v>46</v>
      </c>
      <c r="AC11" s="3" t="s">
        <v>170</v>
      </c>
      <c r="AD11" s="3" t="s">
        <v>201</v>
      </c>
      <c r="AE11" s="1" t="s">
        <v>205</v>
      </c>
      <c r="AF11" s="20">
        <v>11.673999999999999</v>
      </c>
      <c r="AG11" s="20">
        <v>0.111</v>
      </c>
      <c r="AH11" s="20">
        <v>12.246</v>
      </c>
      <c r="AI11" s="20">
        <v>0.17299999999999999</v>
      </c>
      <c r="AJ11" s="20">
        <f t="shared" si="4"/>
        <v>-0.57200000000000095</v>
      </c>
      <c r="AK11" s="20">
        <f t="shared" si="5"/>
        <v>0.20554804791094464</v>
      </c>
      <c r="AL11" s="20">
        <f t="shared" si="6"/>
        <v>4.2249999999999989E-2</v>
      </c>
      <c r="AM11" s="8">
        <v>0.06</v>
      </c>
      <c r="AN11" s="20">
        <f t="shared" si="7"/>
        <v>0.39942400000000128</v>
      </c>
      <c r="AO11" s="31" t="s">
        <v>211</v>
      </c>
      <c r="AP11" s="11"/>
      <c r="AV11" s="1" t="s">
        <v>101</v>
      </c>
      <c r="AW11" s="26" t="s">
        <v>46</v>
      </c>
      <c r="AX11" s="3" t="s">
        <v>170</v>
      </c>
      <c r="AY11" s="3" t="s">
        <v>201</v>
      </c>
      <c r="AZ11" s="1" t="s">
        <v>205</v>
      </c>
      <c r="BA11" s="32">
        <v>11.676</v>
      </c>
      <c r="BB11" s="32">
        <v>5.1999999999999998E-2</v>
      </c>
      <c r="BC11" s="32">
        <v>12.621</v>
      </c>
      <c r="BD11" s="32">
        <v>0.14499999999999999</v>
      </c>
      <c r="BE11" s="32">
        <v>-0.94499999999999995</v>
      </c>
      <c r="BF11" s="32">
        <v>0.15404219999999999</v>
      </c>
      <c r="BG11" s="32">
        <v>2.3729E-2</v>
      </c>
      <c r="BH11" s="33">
        <v>0.06</v>
      </c>
      <c r="BI11" s="32">
        <v>1.010025</v>
      </c>
      <c r="BJ11" s="31" t="s">
        <v>210</v>
      </c>
    </row>
    <row r="12" spans="1:62">
      <c r="A12" s="3"/>
      <c r="B12" s="3"/>
      <c r="C12" s="3"/>
      <c r="D12" s="3" t="s">
        <v>172</v>
      </c>
      <c r="E12" s="3">
        <v>403</v>
      </c>
      <c r="F12" s="3">
        <v>-0.43</v>
      </c>
      <c r="J12" s="26" t="s">
        <v>45</v>
      </c>
      <c r="K12" s="26" t="s">
        <v>46</v>
      </c>
      <c r="L12" s="4" t="s">
        <v>174</v>
      </c>
      <c r="M12" s="3" t="s">
        <v>184</v>
      </c>
      <c r="N12" s="1" t="s">
        <v>188</v>
      </c>
      <c r="O12" s="20">
        <v>10.347</v>
      </c>
      <c r="P12" s="20">
        <v>3.5999999999999997E-2</v>
      </c>
      <c r="Q12" s="20">
        <v>11.186</v>
      </c>
      <c r="R12" s="20">
        <v>5.3999999999999999E-2</v>
      </c>
      <c r="S12" s="20">
        <f t="shared" si="0"/>
        <v>-0.83900000000000041</v>
      </c>
      <c r="T12" s="20">
        <f t="shared" si="1"/>
        <v>6.4899922958351799E-2</v>
      </c>
      <c r="U12" s="20">
        <f t="shared" si="2"/>
        <v>4.2119999999999987E-3</v>
      </c>
      <c r="V12" s="8">
        <v>-0.63</v>
      </c>
      <c r="W12" s="20">
        <f t="shared" si="3"/>
        <v>4.3681000000000171E-2</v>
      </c>
      <c r="X12" s="9" t="s">
        <v>66</v>
      </c>
      <c r="AA12" s="26" t="s">
        <v>82</v>
      </c>
      <c r="AB12" s="26" t="s">
        <v>46</v>
      </c>
      <c r="AC12" s="3" t="s">
        <v>171</v>
      </c>
      <c r="AD12" s="3" t="s">
        <v>86</v>
      </c>
      <c r="AE12" s="1" t="s">
        <v>92</v>
      </c>
      <c r="AF12" s="20">
        <v>-7.7270000000000003</v>
      </c>
      <c r="AG12" s="20">
        <v>0.34300000000000003</v>
      </c>
      <c r="AH12" s="20">
        <v>-8.2859999999999996</v>
      </c>
      <c r="AI12" s="20">
        <v>9.9000000000000005E-2</v>
      </c>
      <c r="AJ12" s="20">
        <f t="shared" si="4"/>
        <v>0.55899999999999928</v>
      </c>
      <c r="AK12" s="20">
        <f t="shared" si="5"/>
        <v>0.35700140055747681</v>
      </c>
      <c r="AL12" s="20">
        <f t="shared" si="6"/>
        <v>0.12745000000000001</v>
      </c>
      <c r="AM12" s="8">
        <v>0.47</v>
      </c>
      <c r="AN12" s="20">
        <f t="shared" si="7"/>
        <v>7.9209999999998761E-3</v>
      </c>
      <c r="AO12" s="31" t="s">
        <v>211</v>
      </c>
      <c r="AP12" s="11"/>
      <c r="AV12" s="1" t="s">
        <v>101</v>
      </c>
      <c r="AW12" s="26" t="s">
        <v>46</v>
      </c>
      <c r="AX12" s="3" t="s">
        <v>171</v>
      </c>
      <c r="AY12" s="3" t="s">
        <v>86</v>
      </c>
      <c r="AZ12" s="1" t="s">
        <v>92</v>
      </c>
      <c r="BA12" s="32">
        <v>-7.165</v>
      </c>
      <c r="BB12" s="32">
        <v>0.252</v>
      </c>
      <c r="BC12" s="32">
        <v>-8.4420000000000002</v>
      </c>
      <c r="BD12" s="32">
        <v>0.109</v>
      </c>
      <c r="BE12" s="32">
        <v>1.2769999999999999</v>
      </c>
      <c r="BF12" s="32">
        <v>0.27456329000000002</v>
      </c>
      <c r="BG12" s="32">
        <v>7.5384999999999994E-2</v>
      </c>
      <c r="BH12" s="33">
        <v>0.47</v>
      </c>
      <c r="BI12" s="32">
        <v>0.65124899999999997</v>
      </c>
      <c r="BJ12" s="31" t="s">
        <v>210</v>
      </c>
    </row>
    <row r="13" spans="1:62">
      <c r="A13" s="3"/>
      <c r="B13" s="5" t="s">
        <v>19</v>
      </c>
      <c r="C13" s="3"/>
      <c r="D13" s="6" t="s">
        <v>173</v>
      </c>
      <c r="E13" s="3">
        <v>404</v>
      </c>
      <c r="F13" s="3">
        <v>-0.27</v>
      </c>
      <c r="J13" s="26" t="s">
        <v>45</v>
      </c>
      <c r="K13" s="26" t="s">
        <v>46</v>
      </c>
      <c r="L13" s="4" t="s">
        <v>175</v>
      </c>
      <c r="M13" s="3" t="s">
        <v>185</v>
      </c>
      <c r="N13" s="1" t="s">
        <v>189</v>
      </c>
      <c r="O13" s="20">
        <v>15.09</v>
      </c>
      <c r="P13" s="20">
        <v>0.11</v>
      </c>
      <c r="Q13" s="20">
        <v>14.744999999999999</v>
      </c>
      <c r="R13" s="20">
        <v>8.6999999999999994E-2</v>
      </c>
      <c r="S13" s="20">
        <f t="shared" si="0"/>
        <v>0.34500000000000064</v>
      </c>
      <c r="T13" s="20">
        <f t="shared" si="1"/>
        <v>0.14024621207005913</v>
      </c>
      <c r="U13" s="20">
        <f t="shared" si="2"/>
        <v>1.9668999999999999E-2</v>
      </c>
      <c r="V13" s="8">
        <v>0.19</v>
      </c>
      <c r="W13" s="20">
        <f t="shared" si="3"/>
        <v>2.4025000000000199E-2</v>
      </c>
      <c r="X13" s="9" t="s">
        <v>66</v>
      </c>
      <c r="AA13" s="26" t="s">
        <v>82</v>
      </c>
      <c r="AB13" s="26" t="s">
        <v>46</v>
      </c>
      <c r="AC13" s="3" t="s">
        <v>172</v>
      </c>
      <c r="AD13" s="3" t="s">
        <v>182</v>
      </c>
      <c r="AE13" s="1" t="s">
        <v>93</v>
      </c>
      <c r="AF13" s="20">
        <v>11.613</v>
      </c>
      <c r="AG13" s="20">
        <v>0.127</v>
      </c>
      <c r="AH13" s="20">
        <v>10.423</v>
      </c>
      <c r="AI13" s="20">
        <v>0.13500000000000001</v>
      </c>
      <c r="AJ13" s="20">
        <f t="shared" si="4"/>
        <v>1.1899999999999995</v>
      </c>
      <c r="AK13" s="20">
        <f t="shared" si="5"/>
        <v>0.18534832073693033</v>
      </c>
      <c r="AL13" s="20">
        <f t="shared" si="6"/>
        <v>3.4353999999999996E-2</v>
      </c>
      <c r="AM13" s="8">
        <v>-0.43</v>
      </c>
      <c r="AN13" s="20">
        <f t="shared" si="7"/>
        <v>2.6243999999999983</v>
      </c>
      <c r="AO13" s="31" t="s">
        <v>211</v>
      </c>
      <c r="AP13" s="11"/>
      <c r="AV13" s="1" t="s">
        <v>101</v>
      </c>
      <c r="AW13" s="26" t="s">
        <v>46</v>
      </c>
      <c r="AX13" s="3" t="s">
        <v>172</v>
      </c>
      <c r="AY13" s="3" t="s">
        <v>182</v>
      </c>
      <c r="AZ13" s="1" t="s">
        <v>93</v>
      </c>
      <c r="BA13" s="32">
        <v>10.811999999999999</v>
      </c>
      <c r="BB13" s="32">
        <v>0.11</v>
      </c>
      <c r="BC13" s="32">
        <v>10.672000000000001</v>
      </c>
      <c r="BD13" s="32">
        <v>8.7999999999999995E-2</v>
      </c>
      <c r="BE13" s="32">
        <v>0.14000000000000001</v>
      </c>
      <c r="BF13" s="32">
        <v>0.14086873</v>
      </c>
      <c r="BG13" s="32">
        <v>1.9844000000000001E-2</v>
      </c>
      <c r="BH13" s="33">
        <v>-0.43</v>
      </c>
      <c r="BI13" s="32">
        <v>0.32490000000000002</v>
      </c>
      <c r="BJ13" s="31" t="s">
        <v>210</v>
      </c>
    </row>
    <row r="14" spans="1:62">
      <c r="A14" s="1" t="s">
        <v>21</v>
      </c>
      <c r="B14" s="6"/>
      <c r="C14" s="3"/>
      <c r="D14" s="6" t="s">
        <v>174</v>
      </c>
      <c r="E14" s="3">
        <v>405</v>
      </c>
      <c r="F14" s="3">
        <v>-0.63</v>
      </c>
      <c r="O14" s="11"/>
      <c r="P14" s="11"/>
      <c r="Q14" s="11"/>
      <c r="R14" s="11"/>
      <c r="S14" s="11"/>
      <c r="T14" s="11"/>
      <c r="U14" s="18" t="s">
        <v>67</v>
      </c>
      <c r="V14" s="18"/>
      <c r="W14" s="18" t="s">
        <v>67</v>
      </c>
      <c r="X14" s="11"/>
      <c r="AA14" s="1" t="s">
        <v>206</v>
      </c>
      <c r="AB14" s="26" t="s">
        <v>46</v>
      </c>
      <c r="AC14" s="4" t="s">
        <v>173</v>
      </c>
      <c r="AD14" s="3" t="s">
        <v>183</v>
      </c>
      <c r="AE14" s="1" t="s">
        <v>94</v>
      </c>
      <c r="AF14" s="20">
        <v>13.137</v>
      </c>
      <c r="AG14" s="20">
        <v>0.16800000000000001</v>
      </c>
      <c r="AH14" s="20">
        <v>12.03</v>
      </c>
      <c r="AI14" s="20">
        <v>0.122</v>
      </c>
      <c r="AJ14" s="20">
        <f t="shared" si="4"/>
        <v>1.1070000000000011</v>
      </c>
      <c r="AK14" s="20">
        <f t="shared" si="5"/>
        <v>0.20762466134830901</v>
      </c>
      <c r="AL14" s="20">
        <f t="shared" si="6"/>
        <v>4.3108E-2</v>
      </c>
      <c r="AM14" s="8">
        <v>-0.27</v>
      </c>
      <c r="AN14" s="20">
        <f t="shared" si="7"/>
        <v>1.8961290000000031</v>
      </c>
      <c r="AO14" s="31" t="s">
        <v>210</v>
      </c>
      <c r="AP14" s="11"/>
      <c r="AV14" s="1" t="s">
        <v>101</v>
      </c>
      <c r="AW14" s="26" t="s">
        <v>46</v>
      </c>
      <c r="AX14" s="6" t="s">
        <v>173</v>
      </c>
      <c r="AY14" s="3" t="s">
        <v>183</v>
      </c>
      <c r="AZ14" s="1" t="s">
        <v>94</v>
      </c>
      <c r="BA14" s="32">
        <v>13.137</v>
      </c>
      <c r="BB14" s="32">
        <v>0.16800000000000001</v>
      </c>
      <c r="BC14" s="32">
        <v>12.03</v>
      </c>
      <c r="BD14" s="32">
        <v>0.122</v>
      </c>
      <c r="BE14" s="32">
        <v>1.107</v>
      </c>
      <c r="BF14" s="32">
        <v>0.20762465999999999</v>
      </c>
      <c r="BG14" s="32">
        <v>4.3108E-2</v>
      </c>
      <c r="BH14" s="33">
        <v>-0.27</v>
      </c>
      <c r="BI14" s="32">
        <v>1.896129</v>
      </c>
      <c r="BJ14" s="31" t="s">
        <v>210</v>
      </c>
    </row>
    <row r="15" spans="1:62">
      <c r="A15" s="3"/>
      <c r="B15" s="3"/>
      <c r="C15" s="3"/>
      <c r="D15" s="6" t="s">
        <v>175</v>
      </c>
      <c r="E15" s="3">
        <v>407</v>
      </c>
      <c r="F15" s="3">
        <v>0.19</v>
      </c>
      <c r="O15" s="11"/>
      <c r="P15" s="11"/>
      <c r="Q15" s="11"/>
      <c r="R15" s="11"/>
      <c r="S15" s="11"/>
      <c r="T15" s="11"/>
      <c r="U15" s="20">
        <f>SUM(U3:U13)</f>
        <v>1.0540769999999997</v>
      </c>
      <c r="V15" s="20"/>
      <c r="W15" s="20">
        <f>SUM(W3:W13)</f>
        <v>19.307697999999966</v>
      </c>
      <c r="X15" s="11"/>
      <c r="AA15" s="1" t="s">
        <v>206</v>
      </c>
      <c r="AB15" s="26" t="s">
        <v>46</v>
      </c>
      <c r="AC15" s="4" t="s">
        <v>174</v>
      </c>
      <c r="AD15" s="3" t="s">
        <v>184</v>
      </c>
      <c r="AE15" s="1" t="s">
        <v>188</v>
      </c>
      <c r="AF15" s="20">
        <v>10.42</v>
      </c>
      <c r="AG15" s="20">
        <v>0.05</v>
      </c>
      <c r="AH15" s="20">
        <v>11.746</v>
      </c>
      <c r="AI15" s="20">
        <v>0.17100000000000001</v>
      </c>
      <c r="AJ15" s="20">
        <f t="shared" si="4"/>
        <v>-1.3260000000000005</v>
      </c>
      <c r="AK15" s="20">
        <f t="shared" si="5"/>
        <v>0.17816004041310723</v>
      </c>
      <c r="AL15" s="20">
        <f t="shared" si="6"/>
        <v>3.1741000000000005E-2</v>
      </c>
      <c r="AM15" s="8">
        <v>-0.63</v>
      </c>
      <c r="AN15" s="20">
        <f t="shared" si="7"/>
        <v>0.48441600000000068</v>
      </c>
      <c r="AO15" s="31" t="s">
        <v>210</v>
      </c>
      <c r="AP15" s="11"/>
      <c r="AV15" s="1" t="s">
        <v>101</v>
      </c>
      <c r="AW15" s="26" t="s">
        <v>46</v>
      </c>
      <c r="AX15" s="6" t="s">
        <v>174</v>
      </c>
      <c r="AY15" s="3" t="s">
        <v>184</v>
      </c>
      <c r="AZ15" s="1" t="s">
        <v>188</v>
      </c>
      <c r="BA15" s="32">
        <v>10.42</v>
      </c>
      <c r="BB15" s="32">
        <v>0.05</v>
      </c>
      <c r="BC15" s="32">
        <v>11.746</v>
      </c>
      <c r="BD15" s="32">
        <v>0.17100000000000001</v>
      </c>
      <c r="BE15" s="32">
        <v>-1.3260000000000001</v>
      </c>
      <c r="BF15" s="32">
        <v>0.17816003999999999</v>
      </c>
      <c r="BG15" s="32">
        <v>3.1740999999999998E-2</v>
      </c>
      <c r="BH15" s="33">
        <v>-0.63</v>
      </c>
      <c r="BI15" s="32">
        <v>0.48441600000000001</v>
      </c>
      <c r="BJ15" s="31" t="s">
        <v>210</v>
      </c>
    </row>
    <row r="16" spans="1:62">
      <c r="A16" s="1"/>
      <c r="B16" s="1"/>
      <c r="C16" s="1"/>
      <c r="D16" s="1"/>
      <c r="E16" s="1"/>
      <c r="F16" s="1"/>
      <c r="O16" s="11"/>
      <c r="P16" s="11"/>
      <c r="Q16" s="11"/>
      <c r="R16" s="11"/>
      <c r="S16" s="11"/>
      <c r="T16" s="11"/>
      <c r="U16" s="20"/>
      <c r="V16" s="20"/>
      <c r="W16" s="20"/>
      <c r="X16" s="11"/>
      <c r="AA16" s="1" t="s">
        <v>206</v>
      </c>
      <c r="AB16" s="26" t="s">
        <v>46</v>
      </c>
      <c r="AC16" s="4" t="s">
        <v>175</v>
      </c>
      <c r="AD16" s="3" t="s">
        <v>185</v>
      </c>
      <c r="AE16" s="1" t="s">
        <v>189</v>
      </c>
      <c r="AF16" s="20">
        <v>14.385</v>
      </c>
      <c r="AG16" s="20">
        <v>5.5E-2</v>
      </c>
      <c r="AH16" s="20">
        <v>14.122999999999999</v>
      </c>
      <c r="AI16" s="20">
        <v>0.159</v>
      </c>
      <c r="AJ16" s="20">
        <f t="shared" si="4"/>
        <v>0.26200000000000045</v>
      </c>
      <c r="AK16" s="20">
        <f t="shared" si="5"/>
        <v>0.16824387061643584</v>
      </c>
      <c r="AL16" s="20">
        <f t="shared" si="6"/>
        <v>2.8306000000000001E-2</v>
      </c>
      <c r="AM16" s="8">
        <v>0.19</v>
      </c>
      <c r="AN16" s="20">
        <f t="shared" si="7"/>
        <v>5.1840000000000653E-3</v>
      </c>
      <c r="AO16" s="31" t="s">
        <v>210</v>
      </c>
      <c r="AP16" s="11"/>
      <c r="AV16" s="1" t="s">
        <v>101</v>
      </c>
      <c r="AW16" s="26" t="s">
        <v>46</v>
      </c>
      <c r="AX16" s="6" t="s">
        <v>175</v>
      </c>
      <c r="AY16" s="3" t="s">
        <v>185</v>
      </c>
      <c r="AZ16" s="1" t="s">
        <v>189</v>
      </c>
      <c r="BA16" s="32">
        <v>14.385</v>
      </c>
      <c r="BB16" s="32">
        <v>5.5E-2</v>
      </c>
      <c r="BC16" s="32">
        <v>14.122999999999999</v>
      </c>
      <c r="BD16" s="32">
        <v>0.159</v>
      </c>
      <c r="BE16" s="32">
        <v>0.26200000000000001</v>
      </c>
      <c r="BF16" s="32">
        <v>0.16824386999999999</v>
      </c>
      <c r="BG16" s="32">
        <v>2.8306000000000001E-2</v>
      </c>
      <c r="BH16" s="33">
        <v>0.19</v>
      </c>
      <c r="BI16" s="32">
        <v>5.1840000000000002E-3</v>
      </c>
      <c r="BJ16" s="31" t="s">
        <v>210</v>
      </c>
    </row>
    <row r="17" spans="10:62">
      <c r="O17" s="11"/>
      <c r="P17" s="11"/>
      <c r="Q17" s="11"/>
      <c r="R17" s="11"/>
      <c r="S17" s="11"/>
      <c r="T17" s="11"/>
      <c r="U17" s="20"/>
      <c r="V17" s="19" t="s">
        <v>68</v>
      </c>
      <c r="W17" s="20">
        <f>SQRT(W15/11)</f>
        <v>1.324856698940406</v>
      </c>
      <c r="X17" s="11"/>
      <c r="AF17" s="11"/>
      <c r="AG17" s="11"/>
      <c r="AH17" s="11"/>
      <c r="AI17" s="11"/>
      <c r="AJ17" s="11"/>
      <c r="AK17" s="11"/>
      <c r="AL17" s="18" t="s">
        <v>67</v>
      </c>
      <c r="AM17" s="18"/>
      <c r="AN17" s="18" t="s">
        <v>67</v>
      </c>
      <c r="AO17" s="11"/>
      <c r="AP17" s="11"/>
      <c r="BA17" s="11"/>
      <c r="BB17" s="11"/>
      <c r="BC17" s="11"/>
      <c r="BD17" s="11"/>
      <c r="BE17" s="11"/>
      <c r="BF17" s="11"/>
      <c r="BG17" s="18" t="s">
        <v>67</v>
      </c>
      <c r="BH17" s="18"/>
      <c r="BI17" s="18" t="s">
        <v>67</v>
      </c>
    </row>
    <row r="18" spans="10:62">
      <c r="O18" s="11"/>
      <c r="P18" s="11"/>
      <c r="Q18" s="11"/>
      <c r="R18" s="11"/>
      <c r="S18" s="11"/>
      <c r="T18" s="11"/>
      <c r="U18" s="20"/>
      <c r="V18" s="19" t="s">
        <v>40</v>
      </c>
      <c r="W18" s="20">
        <f>SQRT(U15/11)</f>
        <v>0.30955642751876722</v>
      </c>
      <c r="X18" s="11"/>
      <c r="AF18" s="11"/>
      <c r="AG18" s="11"/>
      <c r="AH18" s="11"/>
      <c r="AI18" s="11"/>
      <c r="AJ18" s="11"/>
      <c r="AK18" s="11"/>
      <c r="AL18" s="20">
        <f>SUM(AL3:AL16)</f>
        <v>1.3756949999999999</v>
      </c>
      <c r="AM18" s="20"/>
      <c r="AN18" s="20">
        <f>SUM(AN3:AN16)</f>
        <v>15.567207999999995</v>
      </c>
      <c r="AO18" s="11"/>
      <c r="AP18" s="11"/>
      <c r="BA18" s="11"/>
      <c r="BB18" s="11"/>
      <c r="BC18" s="11"/>
      <c r="BD18" s="11"/>
      <c r="BE18" s="11"/>
      <c r="BF18" s="11"/>
      <c r="BG18" s="20">
        <f>SUM(BG3:BG16)</f>
        <v>1.1228539999999998</v>
      </c>
      <c r="BH18" s="20"/>
      <c r="BI18" s="20">
        <f>SUM(BI3:BI16)</f>
        <v>22.350655999999997</v>
      </c>
    </row>
    <row r="19" spans="10:62">
      <c r="O19" s="11"/>
      <c r="P19" s="11"/>
      <c r="Q19" s="11"/>
      <c r="R19" s="11"/>
      <c r="S19" s="11"/>
      <c r="T19" s="11"/>
      <c r="U19" s="20"/>
      <c r="V19" s="20"/>
      <c r="W19" s="20"/>
      <c r="X19" s="11"/>
      <c r="AF19" s="11"/>
      <c r="AG19" s="11"/>
      <c r="AH19" s="11"/>
      <c r="AI19" s="11"/>
      <c r="AJ19" s="11"/>
      <c r="AK19" s="11"/>
      <c r="AL19" s="20"/>
      <c r="AM19" s="20"/>
      <c r="AN19" s="20"/>
      <c r="AO19" s="11"/>
      <c r="AP19" s="11"/>
      <c r="BA19" s="11"/>
      <c r="BB19" s="11"/>
      <c r="BC19" s="11"/>
      <c r="BD19" s="11"/>
      <c r="BE19" s="11"/>
      <c r="BF19" s="11"/>
      <c r="BG19" s="20"/>
      <c r="BH19" s="1"/>
      <c r="BI19" s="20"/>
    </row>
    <row r="20" spans="10:62" ht="17">
      <c r="J20" s="10" t="s">
        <v>69</v>
      </c>
      <c r="K20" s="11"/>
      <c r="L20" s="11"/>
      <c r="M20" s="11"/>
      <c r="N20" s="11"/>
      <c r="O20" s="11"/>
      <c r="P20" s="11"/>
      <c r="Q20" s="11"/>
      <c r="R20" s="11"/>
      <c r="S20" s="11"/>
      <c r="T20" s="11"/>
      <c r="U20" s="11"/>
      <c r="V20" s="11"/>
      <c r="W20" s="11"/>
      <c r="X20" s="11"/>
      <c r="AF20" s="11"/>
      <c r="AG20" s="11"/>
      <c r="AH20" s="11"/>
      <c r="AI20" s="11"/>
      <c r="AJ20" s="11"/>
      <c r="AK20" s="11"/>
      <c r="AL20" s="20"/>
      <c r="AM20" s="19" t="s">
        <v>68</v>
      </c>
      <c r="AN20" s="20">
        <f>SQRT(AN18/14)</f>
        <v>1.054487282318487</v>
      </c>
      <c r="AO20" s="11"/>
      <c r="AP20" s="11"/>
      <c r="BA20" s="11"/>
      <c r="BB20" s="11"/>
      <c r="BC20" s="11"/>
      <c r="BD20" s="11"/>
      <c r="BE20" s="11"/>
      <c r="BF20" s="11"/>
      <c r="BG20" s="20"/>
      <c r="BH20" s="19" t="s">
        <v>68</v>
      </c>
      <c r="BI20" s="20">
        <f>SQRT(BI18/14)</f>
        <v>1.2635170867746224</v>
      </c>
    </row>
    <row r="21" spans="10:62">
      <c r="J21" s="12" t="s">
        <v>30</v>
      </c>
      <c r="K21" s="12" t="s">
        <v>31</v>
      </c>
      <c r="L21" s="13" t="s">
        <v>32</v>
      </c>
      <c r="M21" s="12" t="s">
        <v>33</v>
      </c>
      <c r="N21" s="12" t="s">
        <v>34</v>
      </c>
      <c r="O21" s="12" t="s">
        <v>35</v>
      </c>
      <c r="P21" s="12" t="s">
        <v>36</v>
      </c>
      <c r="Q21" s="12" t="s">
        <v>37</v>
      </c>
      <c r="R21" s="12" t="s">
        <v>38</v>
      </c>
      <c r="S21" s="12" t="s">
        <v>39</v>
      </c>
      <c r="T21" s="14" t="s">
        <v>40</v>
      </c>
      <c r="U21" s="12" t="s">
        <v>41</v>
      </c>
      <c r="V21" s="12" t="s">
        <v>42</v>
      </c>
      <c r="W21" s="12" t="s">
        <v>43</v>
      </c>
      <c r="X21" s="12" t="s">
        <v>44</v>
      </c>
      <c r="AF21" s="11"/>
      <c r="AG21" s="11"/>
      <c r="AH21" s="11"/>
      <c r="AI21" s="11"/>
      <c r="AJ21" s="11"/>
      <c r="AK21" s="11"/>
      <c r="AL21" s="20"/>
      <c r="AM21" s="19" t="s">
        <v>40</v>
      </c>
      <c r="AN21" s="20">
        <f>SQRT(AL18/14)</f>
        <v>0.31347077785884375</v>
      </c>
      <c r="AO21" s="11"/>
      <c r="AP21" s="11"/>
      <c r="BA21" s="11"/>
      <c r="BB21" s="11"/>
      <c r="BC21" s="11"/>
      <c r="BD21" s="11"/>
      <c r="BE21" s="11"/>
      <c r="BF21" s="11"/>
      <c r="BG21" s="20"/>
      <c r="BH21" s="19" t="s">
        <v>40</v>
      </c>
      <c r="BI21" s="20">
        <f>SQRT(BG18/14)</f>
        <v>0.28320285511070881</v>
      </c>
    </row>
    <row r="22" spans="10:62">
      <c r="J22" s="15" t="s">
        <v>45</v>
      </c>
      <c r="K22" s="1" t="s">
        <v>70</v>
      </c>
      <c r="L22" s="3" t="s">
        <v>14</v>
      </c>
      <c r="M22" s="3" t="s">
        <v>190</v>
      </c>
      <c r="N22" s="1" t="s">
        <v>195</v>
      </c>
      <c r="O22" s="20">
        <v>-5.9969999999999999</v>
      </c>
      <c r="P22" s="20">
        <v>0.13500000000000001</v>
      </c>
      <c r="Q22" s="20">
        <v>-5.0519999999999996</v>
      </c>
      <c r="R22" s="20">
        <v>0.17399999999999999</v>
      </c>
      <c r="S22" s="20">
        <f>O22-Q22</f>
        <v>-0.94500000000000028</v>
      </c>
      <c r="T22" s="20">
        <f>SQRT((P22)^2 + (R22)^2)</f>
        <v>0.22022942582679547</v>
      </c>
      <c r="U22" s="20">
        <f>T22^2</f>
        <v>4.8501000000000009E-2</v>
      </c>
      <c r="V22" s="8">
        <v>-0.51</v>
      </c>
      <c r="W22" s="20">
        <f>(S22-V22)^2</f>
        <v>0.18922500000000023</v>
      </c>
      <c r="X22" s="9" t="s">
        <v>66</v>
      </c>
      <c r="AF22" s="11"/>
      <c r="AG22" s="11"/>
      <c r="AH22" s="11"/>
      <c r="AI22" s="11"/>
      <c r="AJ22" s="11"/>
      <c r="AK22" s="11"/>
      <c r="AL22" s="11"/>
      <c r="AM22" s="11"/>
      <c r="AN22" s="11"/>
      <c r="AO22" s="11"/>
      <c r="AP22" s="11"/>
      <c r="BA22" s="11"/>
      <c r="BB22" s="11"/>
      <c r="BC22" s="11"/>
      <c r="BD22" s="11"/>
      <c r="BE22" s="11"/>
      <c r="BF22" s="11"/>
      <c r="BG22" s="11"/>
      <c r="BH22" s="11"/>
      <c r="BI22" s="11"/>
    </row>
    <row r="23" spans="10:62" ht="17">
      <c r="J23" s="15" t="s">
        <v>45</v>
      </c>
      <c r="K23" s="1" t="s">
        <v>70</v>
      </c>
      <c r="L23" s="4" t="s">
        <v>163</v>
      </c>
      <c r="M23" s="3" t="s">
        <v>191</v>
      </c>
      <c r="N23" s="1" t="s">
        <v>196</v>
      </c>
      <c r="O23" s="20">
        <v>-8.5210000000000008</v>
      </c>
      <c r="P23" s="20">
        <v>0.13300000000000001</v>
      </c>
      <c r="Q23" s="20">
        <v>-8.0579999999999998</v>
      </c>
      <c r="R23" s="20">
        <v>0.129</v>
      </c>
      <c r="S23" s="20">
        <f>O23-Q23</f>
        <v>-0.46300000000000097</v>
      </c>
      <c r="T23" s="20">
        <f>SQRT((P23)^2 + (R23)^2)</f>
        <v>0.18528356645962965</v>
      </c>
      <c r="U23" s="20">
        <f>T23^2</f>
        <v>3.4329999999999999E-2</v>
      </c>
      <c r="V23" s="8">
        <v>1.1299999999999999</v>
      </c>
      <c r="W23" s="20">
        <f>(S23-V23)^2</f>
        <v>2.5376490000000027</v>
      </c>
      <c r="X23" s="9" t="s">
        <v>66</v>
      </c>
      <c r="AF23" s="11"/>
      <c r="AG23" s="11"/>
      <c r="AH23" s="11"/>
      <c r="AI23" s="11"/>
      <c r="AJ23" s="11"/>
      <c r="AK23" s="11"/>
      <c r="AL23" s="11"/>
      <c r="AM23" s="11"/>
      <c r="AN23" s="11"/>
      <c r="AO23" s="11"/>
      <c r="AP23" s="11"/>
      <c r="AV23" s="10" t="s">
        <v>112</v>
      </c>
      <c r="AW23" s="11"/>
      <c r="AX23" s="11"/>
      <c r="AY23" s="11"/>
      <c r="AZ23" s="11"/>
      <c r="BA23" s="11"/>
      <c r="BB23" s="11"/>
      <c r="BC23" s="11"/>
      <c r="BD23" s="11"/>
      <c r="BE23" s="11"/>
      <c r="BF23" s="11"/>
      <c r="BG23" s="11"/>
      <c r="BH23" s="11"/>
      <c r="BI23" s="11"/>
      <c r="BJ23" s="11"/>
    </row>
    <row r="24" spans="10:62">
      <c r="J24" s="15" t="s">
        <v>45</v>
      </c>
      <c r="K24" s="1" t="s">
        <v>70</v>
      </c>
      <c r="L24" s="4" t="s">
        <v>164</v>
      </c>
      <c r="M24" s="3" t="s">
        <v>192</v>
      </c>
      <c r="N24" s="1" t="s">
        <v>77</v>
      </c>
      <c r="O24" s="20">
        <v>11.65</v>
      </c>
      <c r="P24" s="20">
        <v>0.18</v>
      </c>
      <c r="Q24" s="20">
        <v>11.927</v>
      </c>
      <c r="R24" s="20">
        <v>0.14399999999999999</v>
      </c>
      <c r="S24" s="20">
        <f>O24-Q24</f>
        <v>-0.27699999999999925</v>
      </c>
      <c r="T24" s="20">
        <f>SQRT((P24)^2 + (R24)^2)</f>
        <v>0.23051247254758253</v>
      </c>
      <c r="U24" s="20">
        <f>T24^2</f>
        <v>5.3135999999999989E-2</v>
      </c>
      <c r="V24" s="8">
        <v>0.47</v>
      </c>
      <c r="W24" s="20">
        <f>(S24-V24)^2</f>
        <v>0.55800899999999887</v>
      </c>
      <c r="X24" s="9" t="s">
        <v>66</v>
      </c>
      <c r="AF24" s="11"/>
      <c r="AG24" s="11"/>
      <c r="AH24" s="11"/>
      <c r="AI24" s="11"/>
      <c r="AJ24" s="11"/>
      <c r="AK24" s="11"/>
      <c r="AL24" s="11"/>
      <c r="AM24" s="11"/>
      <c r="AN24" s="11"/>
      <c r="AO24" s="11"/>
      <c r="AP24" s="11"/>
      <c r="AV24" s="12" t="s">
        <v>30</v>
      </c>
      <c r="AW24" s="12" t="s">
        <v>31</v>
      </c>
      <c r="AX24" s="13" t="s">
        <v>32</v>
      </c>
      <c r="AY24" s="12" t="s">
        <v>33</v>
      </c>
      <c r="AZ24" s="12" t="s">
        <v>34</v>
      </c>
      <c r="BA24" s="12" t="s">
        <v>35</v>
      </c>
      <c r="BB24" s="12" t="s">
        <v>36</v>
      </c>
      <c r="BC24" s="12" t="s">
        <v>37</v>
      </c>
      <c r="BD24" s="12" t="s">
        <v>38</v>
      </c>
      <c r="BE24" s="12" t="s">
        <v>39</v>
      </c>
      <c r="BF24" s="14" t="s">
        <v>40</v>
      </c>
      <c r="BG24" s="12" t="s">
        <v>41</v>
      </c>
      <c r="BH24" s="12" t="s">
        <v>42</v>
      </c>
      <c r="BI24" s="12" t="s">
        <v>43</v>
      </c>
      <c r="BJ24" s="12" t="s">
        <v>44</v>
      </c>
    </row>
    <row r="25" spans="10:62">
      <c r="J25" s="15" t="s">
        <v>45</v>
      </c>
      <c r="K25" s="1" t="s">
        <v>70</v>
      </c>
      <c r="L25" s="4" t="s">
        <v>165</v>
      </c>
      <c r="M25" s="3" t="s">
        <v>193</v>
      </c>
      <c r="N25" s="1" t="s">
        <v>197</v>
      </c>
      <c r="O25" s="20">
        <v>7.6260000000000003</v>
      </c>
      <c r="P25" s="20">
        <v>0.152</v>
      </c>
      <c r="Q25" s="20">
        <v>6.1989999999999998</v>
      </c>
      <c r="R25" s="20">
        <v>0.10299999999999999</v>
      </c>
      <c r="S25" s="20">
        <f>O25-Q25</f>
        <v>1.4270000000000005</v>
      </c>
      <c r="T25" s="20">
        <f>SQRT((P25)^2 + (R25)^2)</f>
        <v>0.18361100184901774</v>
      </c>
      <c r="U25" s="20">
        <f>T25^2</f>
        <v>3.3712999999999993E-2</v>
      </c>
      <c r="V25" s="8">
        <v>0.97</v>
      </c>
      <c r="W25" s="20">
        <f>(S25-V25)^2</f>
        <v>0.20884900000000048</v>
      </c>
      <c r="X25" s="9" t="s">
        <v>66</v>
      </c>
      <c r="AF25" s="11"/>
      <c r="AG25" s="11"/>
      <c r="AH25" s="11"/>
      <c r="AI25" s="11"/>
      <c r="AJ25" s="11"/>
      <c r="AK25" s="11"/>
      <c r="AL25" s="11"/>
      <c r="AM25" s="11"/>
      <c r="AN25" s="11"/>
      <c r="AO25" s="11"/>
      <c r="AP25" s="11"/>
      <c r="AV25" s="1" t="s">
        <v>101</v>
      </c>
      <c r="AW25" s="1" t="s">
        <v>70</v>
      </c>
      <c r="AX25" s="3" t="s">
        <v>14</v>
      </c>
      <c r="AY25" s="3" t="s">
        <v>190</v>
      </c>
      <c r="AZ25" s="1" t="s">
        <v>195</v>
      </c>
      <c r="BA25" s="20">
        <v>-5.3040000000000003</v>
      </c>
      <c r="BB25" s="20">
        <v>6.8000000000000005E-2</v>
      </c>
      <c r="BC25" s="20">
        <v>-5.25</v>
      </c>
      <c r="BD25" s="20">
        <v>3.2000000000000001E-2</v>
      </c>
      <c r="BE25" s="20">
        <f>(BA25-BC25)</f>
        <v>-5.400000000000027E-2</v>
      </c>
      <c r="BF25" s="20">
        <f>SQRT((BB25)^2 + (BD25)^2)</f>
        <v>7.5153176912223743E-2</v>
      </c>
      <c r="BG25" s="20">
        <f>BF25^2</f>
        <v>5.6480000000000002E-3</v>
      </c>
      <c r="BH25" s="8">
        <v>-0.51</v>
      </c>
      <c r="BI25" s="20">
        <f>(BE25-BH25)^2</f>
        <v>0.20793599999999976</v>
      </c>
      <c r="BJ25" s="31" t="s">
        <v>210</v>
      </c>
    </row>
    <row r="26" spans="10:62">
      <c r="J26" s="15" t="s">
        <v>45</v>
      </c>
      <c r="K26" s="1" t="s">
        <v>70</v>
      </c>
      <c r="L26" s="4" t="s">
        <v>12</v>
      </c>
      <c r="M26" s="3" t="s">
        <v>194</v>
      </c>
      <c r="N26" s="1" t="s">
        <v>198</v>
      </c>
      <c r="O26" s="20">
        <v>-23.917000000000002</v>
      </c>
      <c r="P26" s="20">
        <v>0.10299999999999999</v>
      </c>
      <c r="Q26" s="20">
        <v>-24.192</v>
      </c>
      <c r="R26" s="20">
        <v>0.17699999999999999</v>
      </c>
      <c r="S26" s="20">
        <f>O26-Q26</f>
        <v>0.27499999999999858</v>
      </c>
      <c r="T26" s="20">
        <f>SQRT((P26)^2 + (R26)^2)</f>
        <v>0.20478769494283586</v>
      </c>
      <c r="U26" s="20">
        <f>T26^2</f>
        <v>4.1937999999999996E-2</v>
      </c>
      <c r="V26" s="8">
        <v>0.02</v>
      </c>
      <c r="W26" s="20">
        <f>(S26-V26)^2</f>
        <v>6.5024999999999264E-2</v>
      </c>
      <c r="X26" s="9" t="s">
        <v>66</v>
      </c>
      <c r="AF26" s="11"/>
      <c r="AG26" s="11"/>
      <c r="AH26" s="11"/>
      <c r="AI26" s="11"/>
      <c r="AJ26" s="11"/>
      <c r="AK26" s="11"/>
      <c r="AL26" s="11"/>
      <c r="AM26" s="11"/>
      <c r="AN26" s="11"/>
      <c r="AO26" s="11"/>
      <c r="AP26" s="11"/>
      <c r="AV26" s="1" t="s">
        <v>101</v>
      </c>
      <c r="AW26" s="1" t="s">
        <v>70</v>
      </c>
      <c r="AX26" s="4" t="s">
        <v>163</v>
      </c>
      <c r="AY26" s="3" t="s">
        <v>191</v>
      </c>
      <c r="AZ26" s="1" t="s">
        <v>196</v>
      </c>
      <c r="BA26" s="20">
        <v>-8.8810000000000002</v>
      </c>
      <c r="BB26" s="20">
        <v>4.2999999999999997E-2</v>
      </c>
      <c r="BC26" s="20">
        <v>-8.9640000000000004</v>
      </c>
      <c r="BD26" s="20">
        <v>4.2999999999999997E-2</v>
      </c>
      <c r="BE26" s="20">
        <f>(BA26-BC26)</f>
        <v>8.3000000000000185E-2</v>
      </c>
      <c r="BF26" s="20">
        <f>SQRT((BB26)^2 + (BD26)^2)</f>
        <v>6.081118318204308E-2</v>
      </c>
      <c r="BG26" s="20">
        <f>BF26^2</f>
        <v>3.697999999999999E-3</v>
      </c>
      <c r="BH26" s="8">
        <v>1.1299999999999999</v>
      </c>
      <c r="BI26" s="20">
        <f>(BE26-BH26)^2</f>
        <v>1.0962089999999993</v>
      </c>
      <c r="BJ26" s="31" t="s">
        <v>210</v>
      </c>
    </row>
    <row r="27" spans="10:62">
      <c r="N27" s="1"/>
      <c r="O27" s="20"/>
      <c r="P27" s="20"/>
      <c r="Q27" s="20"/>
      <c r="R27" s="20"/>
      <c r="S27" s="20"/>
      <c r="T27" s="20"/>
      <c r="U27" s="18" t="s">
        <v>67</v>
      </c>
      <c r="V27" s="18"/>
      <c r="W27" s="18" t="s">
        <v>67</v>
      </c>
      <c r="X27" s="9"/>
      <c r="AF27" s="11"/>
      <c r="AG27" s="11"/>
      <c r="AH27" s="11"/>
      <c r="AI27" s="11"/>
      <c r="AJ27" s="11"/>
      <c r="AK27" s="11"/>
      <c r="AL27" s="11"/>
      <c r="AM27" s="11"/>
      <c r="AN27" s="11"/>
      <c r="AO27" s="11"/>
      <c r="AP27" s="11"/>
      <c r="AV27" s="1" t="s">
        <v>101</v>
      </c>
      <c r="AW27" s="1" t="s">
        <v>70</v>
      </c>
      <c r="AX27" s="4" t="s">
        <v>164</v>
      </c>
      <c r="AY27" s="3" t="s">
        <v>192</v>
      </c>
      <c r="AZ27" s="1" t="s">
        <v>77</v>
      </c>
      <c r="BA27" s="20">
        <v>12.08</v>
      </c>
      <c r="BB27" s="20">
        <v>0.26</v>
      </c>
      <c r="BC27" s="20">
        <v>11.585000000000001</v>
      </c>
      <c r="BD27" s="20">
        <v>0.122</v>
      </c>
      <c r="BE27" s="20">
        <f>(BA27-BC27)</f>
        <v>0.49499999999999922</v>
      </c>
      <c r="BF27" s="20">
        <f>SQRT((BB27)^2 + (BD27)^2)</f>
        <v>0.28720027855139696</v>
      </c>
      <c r="BG27" s="20">
        <f>BF27^2</f>
        <v>8.2484000000000002E-2</v>
      </c>
      <c r="BH27" s="8">
        <v>0.47</v>
      </c>
      <c r="BI27" s="20">
        <f>(BE27-BH27)^2</f>
        <v>6.2499999999996228E-4</v>
      </c>
      <c r="BJ27" s="31" t="s">
        <v>210</v>
      </c>
    </row>
    <row r="28" spans="10:62" ht="17">
      <c r="O28" s="11"/>
      <c r="P28" s="11"/>
      <c r="Q28" s="11"/>
      <c r="R28" s="11"/>
      <c r="S28" s="11"/>
      <c r="T28" s="11"/>
      <c r="U28" s="20">
        <f>SUM(U22:U26)</f>
        <v>0.211618</v>
      </c>
      <c r="V28" s="20"/>
      <c r="W28" s="20">
        <f>SUM(W22:W26)</f>
        <v>3.5587570000000017</v>
      </c>
      <c r="X28" s="11"/>
      <c r="AA28" s="10" t="s">
        <v>102</v>
      </c>
      <c r="AB28" s="11"/>
      <c r="AC28" s="11"/>
      <c r="AD28" s="11"/>
      <c r="AE28" s="11"/>
      <c r="AF28" s="11"/>
      <c r="AG28" s="11"/>
      <c r="AH28" s="11"/>
      <c r="AI28" s="11"/>
      <c r="AJ28" s="11"/>
      <c r="AK28" s="11"/>
      <c r="AL28" s="11"/>
      <c r="AM28" s="11"/>
      <c r="AN28" s="11"/>
      <c r="AO28" s="11"/>
      <c r="AP28" s="11"/>
      <c r="AV28" s="1" t="s">
        <v>101</v>
      </c>
      <c r="AW28" s="1" t="s">
        <v>70</v>
      </c>
      <c r="AX28" s="4" t="s">
        <v>165</v>
      </c>
      <c r="AY28" s="3" t="s">
        <v>193</v>
      </c>
      <c r="AZ28" s="1" t="s">
        <v>197</v>
      </c>
      <c r="BA28" s="20">
        <v>7.5359999999999996</v>
      </c>
      <c r="BB28" s="20">
        <v>0.108</v>
      </c>
      <c r="BC28" s="20">
        <v>6.2859999999999996</v>
      </c>
      <c r="BD28" s="20">
        <v>9.0999999999999998E-2</v>
      </c>
      <c r="BE28" s="20">
        <f>(BA28-BC28)</f>
        <v>1.25</v>
      </c>
      <c r="BF28" s="20">
        <f>SQRT((BB28)^2 + (BD28)^2)</f>
        <v>0.1412267680009707</v>
      </c>
      <c r="BG28" s="20">
        <f>BF28^2</f>
        <v>1.9945000000000001E-2</v>
      </c>
      <c r="BH28" s="8">
        <v>0.97</v>
      </c>
      <c r="BI28" s="20">
        <f>(BE28-BH28)^2</f>
        <v>7.8400000000000011E-2</v>
      </c>
      <c r="BJ28" s="31" t="s">
        <v>210</v>
      </c>
    </row>
    <row r="29" spans="10:62">
      <c r="O29" s="11"/>
      <c r="P29" s="11"/>
      <c r="Q29" s="11"/>
      <c r="R29" s="11"/>
      <c r="S29" s="11"/>
      <c r="T29" s="11"/>
      <c r="U29" s="20"/>
      <c r="V29" s="20"/>
      <c r="W29" s="20"/>
      <c r="X29" s="11"/>
      <c r="AA29" s="12" t="s">
        <v>30</v>
      </c>
      <c r="AB29" s="12" t="s">
        <v>31</v>
      </c>
      <c r="AC29" s="13" t="s">
        <v>32</v>
      </c>
      <c r="AD29" s="12" t="s">
        <v>33</v>
      </c>
      <c r="AE29" s="12" t="s">
        <v>34</v>
      </c>
      <c r="AF29" s="12" t="s">
        <v>35</v>
      </c>
      <c r="AG29" s="12" t="s">
        <v>36</v>
      </c>
      <c r="AH29" s="12" t="s">
        <v>37</v>
      </c>
      <c r="AI29" s="12" t="s">
        <v>38</v>
      </c>
      <c r="AJ29" s="12" t="s">
        <v>39</v>
      </c>
      <c r="AK29" s="14" t="s">
        <v>40</v>
      </c>
      <c r="AL29" s="12" t="s">
        <v>41</v>
      </c>
      <c r="AM29" s="12" t="s">
        <v>42</v>
      </c>
      <c r="AN29" s="12" t="s">
        <v>43</v>
      </c>
      <c r="AO29" s="12" t="s">
        <v>44</v>
      </c>
      <c r="AP29" s="11"/>
      <c r="AV29" s="1" t="s">
        <v>101</v>
      </c>
      <c r="AW29" s="1" t="s">
        <v>70</v>
      </c>
      <c r="AX29" s="4" t="s">
        <v>12</v>
      </c>
      <c r="AY29" s="3" t="s">
        <v>194</v>
      </c>
      <c r="AZ29" s="1" t="s">
        <v>198</v>
      </c>
      <c r="BA29" s="20">
        <v>-24.760999999999999</v>
      </c>
      <c r="BB29" s="20">
        <v>0.14499999999999999</v>
      </c>
      <c r="BC29" s="20">
        <v>-24.088000000000001</v>
      </c>
      <c r="BD29" s="20">
        <v>9.1999999999999998E-2</v>
      </c>
      <c r="BE29" s="20">
        <f>(BA29-BC29)</f>
        <v>-0.67299999999999827</v>
      </c>
      <c r="BF29" s="20">
        <f>SQRT((BB29)^2 + (BD29)^2)</f>
        <v>0.17172361514946044</v>
      </c>
      <c r="BG29" s="20">
        <f>BF29^2</f>
        <v>2.9488999999999998E-2</v>
      </c>
      <c r="BH29" s="8">
        <v>0.02</v>
      </c>
      <c r="BI29" s="20">
        <f>(BE29-BH29)^2</f>
        <v>0.48024899999999759</v>
      </c>
      <c r="BJ29" s="31" t="s">
        <v>210</v>
      </c>
    </row>
    <row r="30" spans="10:62">
      <c r="O30" s="11"/>
      <c r="P30" s="11"/>
      <c r="Q30" s="11"/>
      <c r="R30" s="11"/>
      <c r="S30" s="11"/>
      <c r="T30" s="11"/>
      <c r="U30" s="20"/>
      <c r="V30" s="19" t="s">
        <v>68</v>
      </c>
      <c r="W30" s="20">
        <f>SQRT(W28/5)</f>
        <v>0.8436536019006855</v>
      </c>
      <c r="X30" s="11"/>
      <c r="AA30" s="15" t="s">
        <v>82</v>
      </c>
      <c r="AB30" s="1" t="s">
        <v>70</v>
      </c>
      <c r="AC30" s="3" t="s">
        <v>14</v>
      </c>
      <c r="AD30" s="3" t="s">
        <v>190</v>
      </c>
      <c r="AE30" s="1" t="s">
        <v>195</v>
      </c>
      <c r="AF30" s="20">
        <v>-5.1050000000000004</v>
      </c>
      <c r="AG30" s="20">
        <v>8.5999999999999993E-2</v>
      </c>
      <c r="AH30" s="20">
        <v>-5.056</v>
      </c>
      <c r="AI30" s="20">
        <v>5.0999999999999997E-2</v>
      </c>
      <c r="AJ30" s="20">
        <f>(AF30-AH30)</f>
        <v>-4.9000000000000377E-2</v>
      </c>
      <c r="AK30" s="20">
        <f>SQRT((AG30)^2 + (AI30)^2)</f>
        <v>9.9984998874831213E-2</v>
      </c>
      <c r="AL30" s="20">
        <f>AK30^2</f>
        <v>9.9969999999999989E-3</v>
      </c>
      <c r="AM30" s="8">
        <v>-0.51</v>
      </c>
      <c r="AN30" s="20">
        <f>(AJ30-AM30)^2</f>
        <v>0.21252099999999965</v>
      </c>
      <c r="AO30" s="31" t="s">
        <v>211</v>
      </c>
      <c r="AP30" s="11"/>
      <c r="BA30" s="11"/>
      <c r="BB30" s="11"/>
      <c r="BC30" s="11"/>
      <c r="BD30" s="11"/>
      <c r="BE30" s="11"/>
      <c r="BF30" s="11"/>
      <c r="BG30" s="18" t="s">
        <v>67</v>
      </c>
      <c r="BH30" s="18"/>
      <c r="BI30" s="18" t="s">
        <v>67</v>
      </c>
      <c r="BJ30" s="11"/>
    </row>
    <row r="31" spans="10:62">
      <c r="O31" s="11"/>
      <c r="P31" s="11"/>
      <c r="Q31" s="11"/>
      <c r="R31" s="11"/>
      <c r="S31" s="11"/>
      <c r="T31" s="11"/>
      <c r="U31" s="20"/>
      <c r="V31" s="19" t="s">
        <v>40</v>
      </c>
      <c r="W31" s="20">
        <f>SQRT(U28/5)</f>
        <v>0.20572700357512624</v>
      </c>
      <c r="X31" s="11"/>
      <c r="AA31" s="1" t="s">
        <v>101</v>
      </c>
      <c r="AB31" s="1" t="s">
        <v>70</v>
      </c>
      <c r="AC31" s="4" t="s">
        <v>163</v>
      </c>
      <c r="AD31" s="3" t="s">
        <v>191</v>
      </c>
      <c r="AE31" s="1" t="s">
        <v>196</v>
      </c>
      <c r="AF31" s="20">
        <v>-8.8810000000000002</v>
      </c>
      <c r="AG31" s="20">
        <v>4.2999999999999997E-2</v>
      </c>
      <c r="AH31" s="20">
        <v>-8.9640000000000004</v>
      </c>
      <c r="AI31" s="20">
        <v>4.2999999999999997E-2</v>
      </c>
      <c r="AJ31" s="20">
        <f>(AF31-AH31)</f>
        <v>8.3000000000000185E-2</v>
      </c>
      <c r="AK31" s="20">
        <f>SQRT((AG31)^2 + (AI31)^2)</f>
        <v>6.081118318204308E-2</v>
      </c>
      <c r="AL31" s="20">
        <f>AK31^2</f>
        <v>3.697999999999999E-3</v>
      </c>
      <c r="AM31" s="8">
        <v>1.1299999999999999</v>
      </c>
      <c r="AN31" s="20">
        <f>(AJ31-AM31)^2</f>
        <v>1.0962089999999993</v>
      </c>
      <c r="AO31" s="31" t="s">
        <v>210</v>
      </c>
      <c r="AP31" s="11"/>
      <c r="BA31" s="11"/>
      <c r="BB31" s="11"/>
      <c r="BC31" s="11"/>
      <c r="BD31" s="11"/>
      <c r="BE31" s="11"/>
      <c r="BF31" s="11"/>
      <c r="BG31" s="20">
        <f>SUM(BG25:BG29)</f>
        <v>0.141264</v>
      </c>
      <c r="BH31" s="20"/>
      <c r="BI31" s="20">
        <f>SUM(BI25:BI29)</f>
        <v>1.8634189999999964</v>
      </c>
      <c r="BJ31" s="11"/>
    </row>
    <row r="32" spans="10:62">
      <c r="O32" s="11"/>
      <c r="P32" s="11"/>
      <c r="Q32" s="11"/>
      <c r="R32" s="11"/>
      <c r="S32" s="11"/>
      <c r="T32" s="11"/>
      <c r="U32" s="11"/>
      <c r="V32" s="11"/>
      <c r="W32" s="11"/>
      <c r="X32" s="11"/>
      <c r="AA32" s="1" t="s">
        <v>101</v>
      </c>
      <c r="AB32" s="1" t="s">
        <v>70</v>
      </c>
      <c r="AC32" s="4" t="s">
        <v>164</v>
      </c>
      <c r="AD32" s="3" t="s">
        <v>192</v>
      </c>
      <c r="AE32" s="1" t="s">
        <v>77</v>
      </c>
      <c r="AF32" s="20">
        <v>12.08</v>
      </c>
      <c r="AG32" s="20">
        <v>0.26</v>
      </c>
      <c r="AH32" s="20">
        <v>11.585000000000001</v>
      </c>
      <c r="AI32" s="20">
        <v>0.122</v>
      </c>
      <c r="AJ32" s="20">
        <f>(AF32-AH32)</f>
        <v>0.49499999999999922</v>
      </c>
      <c r="AK32" s="20">
        <f>SQRT((AG32)^2 + (AI32)^2)</f>
        <v>0.28720027855139696</v>
      </c>
      <c r="AL32" s="20">
        <f>AK32^2</f>
        <v>8.2484000000000002E-2</v>
      </c>
      <c r="AM32" s="8">
        <v>0.47</v>
      </c>
      <c r="AN32" s="20">
        <f>(AJ32-AM32)^2</f>
        <v>6.2499999999996228E-4</v>
      </c>
      <c r="AO32" s="31" t="s">
        <v>210</v>
      </c>
      <c r="AP32" s="11"/>
      <c r="BA32" s="11"/>
      <c r="BB32" s="11"/>
      <c r="BC32" s="11"/>
      <c r="BD32" s="11"/>
      <c r="BE32" s="11"/>
      <c r="BF32" s="11"/>
      <c r="BG32" s="20"/>
      <c r="BH32" s="20"/>
      <c r="BI32" s="20"/>
      <c r="BJ32" s="11"/>
    </row>
    <row r="33" spans="10:62">
      <c r="O33" s="11"/>
      <c r="P33" s="11"/>
      <c r="Q33" s="11"/>
      <c r="R33" s="11"/>
      <c r="S33" s="11"/>
      <c r="T33" s="11"/>
      <c r="U33" s="11"/>
      <c r="V33" s="11"/>
      <c r="W33" s="11"/>
      <c r="X33" s="11"/>
      <c r="AA33" s="1" t="s">
        <v>101</v>
      </c>
      <c r="AB33" s="1" t="s">
        <v>70</v>
      </c>
      <c r="AC33" s="4" t="s">
        <v>165</v>
      </c>
      <c r="AD33" s="3" t="s">
        <v>193</v>
      </c>
      <c r="AE33" s="1" t="s">
        <v>197</v>
      </c>
      <c r="AF33" s="20">
        <v>7.5359999999999996</v>
      </c>
      <c r="AG33" s="20">
        <v>0.108</v>
      </c>
      <c r="AH33" s="20">
        <v>6.2859999999999996</v>
      </c>
      <c r="AI33" s="20">
        <v>9.0999999999999998E-2</v>
      </c>
      <c r="AJ33" s="20">
        <f>(AF33-AH33)</f>
        <v>1.25</v>
      </c>
      <c r="AK33" s="20">
        <f>SQRT((AG33)^2 + (AI33)^2)</f>
        <v>0.1412267680009707</v>
      </c>
      <c r="AL33" s="20">
        <f>AK33^2</f>
        <v>1.9945000000000001E-2</v>
      </c>
      <c r="AM33" s="8">
        <v>0.97</v>
      </c>
      <c r="AN33" s="20">
        <f>(AJ33-AM33)^2</f>
        <v>7.8400000000000011E-2</v>
      </c>
      <c r="AO33" s="31" t="s">
        <v>210</v>
      </c>
      <c r="AP33" s="11"/>
      <c r="BA33" s="11"/>
      <c r="BB33" s="11"/>
      <c r="BC33" s="11"/>
      <c r="BD33" s="11"/>
      <c r="BE33" s="11"/>
      <c r="BF33" s="11"/>
      <c r="BG33" s="20"/>
      <c r="BH33" s="19" t="s">
        <v>68</v>
      </c>
      <c r="BI33" s="20">
        <f>SQRT(BI31/5)</f>
        <v>0.61047833704399312</v>
      </c>
      <c r="BJ33" s="11"/>
    </row>
    <row r="34" spans="10:62" ht="17">
      <c r="J34" s="10" t="s">
        <v>79</v>
      </c>
      <c r="O34" s="11"/>
      <c r="P34" s="11"/>
      <c r="Q34" s="11"/>
      <c r="R34" s="11"/>
      <c r="S34" s="11"/>
      <c r="T34" s="11"/>
      <c r="U34" s="11"/>
      <c r="V34" s="11"/>
      <c r="W34" s="11"/>
      <c r="X34" s="11"/>
      <c r="AA34" s="1" t="s">
        <v>101</v>
      </c>
      <c r="AB34" s="1" t="s">
        <v>70</v>
      </c>
      <c r="AC34" s="4" t="s">
        <v>12</v>
      </c>
      <c r="AD34" s="3" t="s">
        <v>194</v>
      </c>
      <c r="AE34" s="1" t="s">
        <v>198</v>
      </c>
      <c r="AF34" s="20">
        <v>-24.760999999999999</v>
      </c>
      <c r="AG34" s="20">
        <v>0.14499999999999999</v>
      </c>
      <c r="AH34" s="20">
        <v>-24.088000000000001</v>
      </c>
      <c r="AI34" s="20">
        <v>9.1999999999999998E-2</v>
      </c>
      <c r="AJ34" s="20">
        <f>(AF34-AH34)</f>
        <v>-0.67299999999999827</v>
      </c>
      <c r="AK34" s="20">
        <f>SQRT((AG34)^2 + (AI34)^2)</f>
        <v>0.17172361514946044</v>
      </c>
      <c r="AL34" s="20">
        <f>AK34^2</f>
        <v>2.9488999999999998E-2</v>
      </c>
      <c r="AM34" s="8">
        <v>0.02</v>
      </c>
      <c r="AN34" s="20">
        <f>(AJ34-AM34)^2</f>
        <v>0.48024899999999759</v>
      </c>
      <c r="AO34" s="31" t="s">
        <v>210</v>
      </c>
      <c r="AP34" s="11"/>
      <c r="BA34" s="11"/>
      <c r="BB34" s="11"/>
      <c r="BC34" s="11"/>
      <c r="BD34" s="11"/>
      <c r="BE34" s="11"/>
      <c r="BF34" s="11"/>
      <c r="BG34" s="20"/>
      <c r="BH34" s="19" t="s">
        <v>40</v>
      </c>
      <c r="BI34" s="20">
        <f>SQRT(BG31/5)</f>
        <v>0.16808569243097404</v>
      </c>
      <c r="BJ34" s="11"/>
    </row>
    <row r="35" spans="10:62">
      <c r="J35" s="12" t="s">
        <v>30</v>
      </c>
      <c r="K35" s="12" t="s">
        <v>31</v>
      </c>
      <c r="L35" s="13" t="s">
        <v>32</v>
      </c>
      <c r="M35" s="12" t="s">
        <v>33</v>
      </c>
      <c r="N35" s="12" t="s">
        <v>34</v>
      </c>
      <c r="O35" s="12" t="s">
        <v>35</v>
      </c>
      <c r="P35" s="12" t="s">
        <v>36</v>
      </c>
      <c r="Q35" s="12" t="s">
        <v>37</v>
      </c>
      <c r="R35" s="12" t="s">
        <v>38</v>
      </c>
      <c r="S35" s="12" t="s">
        <v>39</v>
      </c>
      <c r="T35" s="14" t="s">
        <v>40</v>
      </c>
      <c r="U35" s="12" t="s">
        <v>41</v>
      </c>
      <c r="V35" s="12" t="s">
        <v>42</v>
      </c>
      <c r="W35" s="12" t="s">
        <v>43</v>
      </c>
      <c r="X35" s="11"/>
      <c r="AF35" s="11"/>
      <c r="AG35" s="11"/>
      <c r="AH35" s="11"/>
      <c r="AI35" s="11"/>
      <c r="AJ35" s="11"/>
      <c r="AK35" s="11"/>
      <c r="AL35" s="18" t="s">
        <v>67</v>
      </c>
      <c r="AM35" s="18"/>
      <c r="AN35" s="18" t="s">
        <v>67</v>
      </c>
      <c r="AO35" s="11"/>
      <c r="AP35" s="11"/>
      <c r="BA35" s="11"/>
      <c r="BB35" s="11"/>
      <c r="BC35" s="11"/>
      <c r="BD35" s="11"/>
      <c r="BE35" s="11"/>
      <c r="BF35" s="11"/>
      <c r="BG35" s="20"/>
      <c r="BH35" s="20"/>
      <c r="BI35" s="20"/>
      <c r="BJ35" s="11"/>
    </row>
    <row r="36" spans="10:62">
      <c r="J36" s="26" t="s">
        <v>45</v>
      </c>
      <c r="K36" s="26" t="s">
        <v>46</v>
      </c>
      <c r="L36" s="4" t="s">
        <v>11</v>
      </c>
      <c r="M36" s="3" t="s">
        <v>176</v>
      </c>
      <c r="N36" s="1" t="s">
        <v>186</v>
      </c>
      <c r="O36" s="20">
        <v>-37.261000000000003</v>
      </c>
      <c r="P36" s="20">
        <v>0.48699999999999999</v>
      </c>
      <c r="Q36" s="20">
        <v>-42.448999999999998</v>
      </c>
      <c r="R36" s="20">
        <v>0.443</v>
      </c>
      <c r="S36" s="20">
        <f>O36-Q36</f>
        <v>5.1879999999999953</v>
      </c>
      <c r="T36" s="20">
        <f>SQRT((P36)^2 + (R36)^2)</f>
        <v>0.65834489441325506</v>
      </c>
      <c r="U36" s="20">
        <f>T36^2</f>
        <v>0.43341799999999997</v>
      </c>
      <c r="V36" s="8">
        <v>1.53</v>
      </c>
      <c r="W36" s="20">
        <f>(S36-V36)^2</f>
        <v>13.380963999999963</v>
      </c>
      <c r="X36" s="11"/>
      <c r="AF36" s="11"/>
      <c r="AG36" s="11"/>
      <c r="AH36" s="11"/>
      <c r="AI36" s="11"/>
      <c r="AJ36" s="11"/>
      <c r="AK36" s="11"/>
      <c r="AL36" s="20">
        <f>SUM(AL30:AL34)</f>
        <v>0.14561299999999999</v>
      </c>
      <c r="AM36" s="20"/>
      <c r="AN36" s="20">
        <f>SUM(AN30:AN34)</f>
        <v>1.8680039999999964</v>
      </c>
      <c r="AO36" s="11"/>
      <c r="AP36" s="11"/>
      <c r="BA36" s="11"/>
      <c r="BB36" s="11"/>
      <c r="BC36" s="11"/>
      <c r="BD36" s="11"/>
      <c r="BE36" s="11"/>
      <c r="BF36" s="11"/>
      <c r="BG36" s="11"/>
      <c r="BH36" s="11"/>
      <c r="BI36" s="11"/>
      <c r="BJ36" s="11"/>
    </row>
    <row r="37" spans="10:62" ht="17">
      <c r="J37" s="26" t="s">
        <v>45</v>
      </c>
      <c r="K37" s="26" t="s">
        <v>46</v>
      </c>
      <c r="L37" s="3" t="s">
        <v>166</v>
      </c>
      <c r="M37" s="3" t="s">
        <v>177</v>
      </c>
      <c r="N37" s="1" t="s">
        <v>58</v>
      </c>
      <c r="O37" s="20">
        <v>-3.988</v>
      </c>
      <c r="P37" s="20">
        <v>0.158</v>
      </c>
      <c r="Q37" s="20">
        <v>-3.8170000000000002</v>
      </c>
      <c r="R37" s="20">
        <v>4.9000000000000002E-2</v>
      </c>
      <c r="S37" s="20">
        <f t="shared" ref="S37:S46" si="8">O37-Q37</f>
        <v>-0.17099999999999982</v>
      </c>
      <c r="T37" s="20">
        <f t="shared" ref="T37:T46" si="9">SQRT((P37)^2 + (R37)^2)</f>
        <v>0.16542369842317031</v>
      </c>
      <c r="U37" s="20">
        <f t="shared" ref="U37:U46" si="10">T37^2</f>
        <v>2.7365E-2</v>
      </c>
      <c r="V37" s="8">
        <v>-0.82</v>
      </c>
      <c r="W37" s="20">
        <f t="shared" ref="W37:W46" si="11">(S37-V37)^2</f>
        <v>0.42120100000000016</v>
      </c>
      <c r="X37" s="11"/>
      <c r="AF37" s="11"/>
      <c r="AG37" s="11"/>
      <c r="AH37" s="11"/>
      <c r="AI37" s="11"/>
      <c r="AJ37" s="11"/>
      <c r="AK37" s="11"/>
      <c r="AL37" s="20"/>
      <c r="AM37" s="20"/>
      <c r="AN37" s="20"/>
      <c r="AO37" s="11"/>
      <c r="AP37" s="11"/>
      <c r="AV37" s="10" t="s">
        <v>113</v>
      </c>
      <c r="AW37" s="11"/>
      <c r="AX37" s="11"/>
      <c r="AY37" s="11"/>
      <c r="AZ37" s="11"/>
      <c r="BA37" s="11"/>
      <c r="BB37" s="11"/>
      <c r="BC37" s="11"/>
      <c r="BD37" s="11"/>
      <c r="BE37" s="11"/>
      <c r="BF37" s="11"/>
      <c r="BG37" s="11"/>
      <c r="BH37" s="11"/>
      <c r="BI37" s="11"/>
      <c r="BJ37" s="11"/>
    </row>
    <row r="38" spans="10:62">
      <c r="J38" s="26" t="s">
        <v>45</v>
      </c>
      <c r="K38" s="26" t="s">
        <v>46</v>
      </c>
      <c r="L38" s="3" t="s">
        <v>167</v>
      </c>
      <c r="M38" s="3" t="s">
        <v>178</v>
      </c>
      <c r="N38" s="1" t="s">
        <v>59</v>
      </c>
      <c r="O38" s="20">
        <v>12.398999999999999</v>
      </c>
      <c r="P38" s="20">
        <v>0.32400000000000001</v>
      </c>
      <c r="Q38" s="20">
        <v>12.984</v>
      </c>
      <c r="R38" s="20">
        <v>3.7999999999999999E-2</v>
      </c>
      <c r="S38" s="20">
        <f t="shared" si="8"/>
        <v>-0.58500000000000085</v>
      </c>
      <c r="T38" s="20">
        <f t="shared" si="9"/>
        <v>0.32622078413246453</v>
      </c>
      <c r="U38" s="20">
        <f t="shared" si="10"/>
        <v>0.10642000000000001</v>
      </c>
      <c r="V38" s="8">
        <v>-0.85</v>
      </c>
      <c r="W38" s="20">
        <f t="shared" si="11"/>
        <v>7.0224999999999538E-2</v>
      </c>
      <c r="X38" s="11"/>
      <c r="AF38" s="11"/>
      <c r="AG38" s="11"/>
      <c r="AH38" s="11"/>
      <c r="AI38" s="11"/>
      <c r="AJ38" s="11"/>
      <c r="AK38" s="11"/>
      <c r="AL38" s="20"/>
      <c r="AM38" s="19" t="s">
        <v>68</v>
      </c>
      <c r="AN38" s="20">
        <f>SQRT(AN36/5)</f>
        <v>0.61122892601708512</v>
      </c>
      <c r="AO38" s="11"/>
      <c r="AP38" s="11"/>
      <c r="AV38" s="12" t="s">
        <v>30</v>
      </c>
      <c r="AW38" s="12" t="s">
        <v>31</v>
      </c>
      <c r="AX38" s="13" t="s">
        <v>32</v>
      </c>
      <c r="AY38" s="12" t="s">
        <v>33</v>
      </c>
      <c r="AZ38" s="12" t="s">
        <v>34</v>
      </c>
      <c r="BA38" s="12" t="s">
        <v>35</v>
      </c>
      <c r="BB38" s="12" t="s">
        <v>36</v>
      </c>
      <c r="BC38" s="12" t="s">
        <v>37</v>
      </c>
      <c r="BD38" s="12" t="s">
        <v>38</v>
      </c>
      <c r="BE38" s="12" t="s">
        <v>39</v>
      </c>
      <c r="BF38" s="14" t="s">
        <v>40</v>
      </c>
      <c r="BG38" s="12" t="s">
        <v>41</v>
      </c>
      <c r="BH38" s="12" t="s">
        <v>42</v>
      </c>
      <c r="BI38" s="12" t="s">
        <v>43</v>
      </c>
      <c r="BJ38" s="11"/>
    </row>
    <row r="39" spans="10:62">
      <c r="J39" s="26" t="s">
        <v>45</v>
      </c>
      <c r="K39" s="26" t="s">
        <v>46</v>
      </c>
      <c r="L39" s="3" t="s">
        <v>13</v>
      </c>
      <c r="M39" s="3" t="s">
        <v>179</v>
      </c>
      <c r="N39" s="1" t="s">
        <v>187</v>
      </c>
      <c r="O39" s="20">
        <v>16.52</v>
      </c>
      <c r="P39" s="20">
        <v>0.1</v>
      </c>
      <c r="Q39" s="20">
        <v>13.997999999999999</v>
      </c>
      <c r="R39" s="20">
        <v>5.5E-2</v>
      </c>
      <c r="S39" s="20">
        <f t="shared" si="8"/>
        <v>2.5220000000000002</v>
      </c>
      <c r="T39" s="20">
        <f t="shared" si="9"/>
        <v>0.11412712210513329</v>
      </c>
      <c r="U39" s="20">
        <f t="shared" si="10"/>
        <v>1.3025000000000004E-2</v>
      </c>
      <c r="V39" s="8">
        <v>0.46</v>
      </c>
      <c r="W39" s="20">
        <f t="shared" si="11"/>
        <v>4.2518440000000011</v>
      </c>
      <c r="X39" s="11"/>
      <c r="AF39" s="11"/>
      <c r="AG39" s="11"/>
      <c r="AH39" s="11"/>
      <c r="AI39" s="11"/>
      <c r="AJ39" s="11"/>
      <c r="AK39" s="11"/>
      <c r="AL39" s="20"/>
      <c r="AM39" s="19" t="s">
        <v>40</v>
      </c>
      <c r="AN39" s="20">
        <f>SQRT(AL36/5)</f>
        <v>0.17065345000907542</v>
      </c>
      <c r="AO39" s="11"/>
      <c r="AP39" s="11"/>
      <c r="AV39" s="1" t="s">
        <v>101</v>
      </c>
      <c r="AW39" s="26" t="s">
        <v>46</v>
      </c>
      <c r="AX39" s="3" t="s">
        <v>162</v>
      </c>
      <c r="AY39" s="3" t="s">
        <v>199</v>
      </c>
      <c r="AZ39" s="1" t="s">
        <v>202</v>
      </c>
      <c r="BA39" s="32">
        <v>5.2770000000000001</v>
      </c>
      <c r="BB39" s="32">
        <v>0.12</v>
      </c>
      <c r="BC39" s="32">
        <v>2.081</v>
      </c>
      <c r="BD39" s="32">
        <v>0.14099999999999999</v>
      </c>
      <c r="BE39" s="32">
        <v>3.1960000000000002</v>
      </c>
      <c r="BF39" s="32">
        <v>0.18515129</v>
      </c>
      <c r="BG39" s="32">
        <v>3.4280999999999999E-2</v>
      </c>
      <c r="BH39" s="33">
        <v>0.56999999999999995</v>
      </c>
      <c r="BI39" s="32">
        <v>6.8958760000000003</v>
      </c>
      <c r="BJ39" s="11"/>
    </row>
    <row r="40" spans="10:62">
      <c r="J40" s="26" t="s">
        <v>45</v>
      </c>
      <c r="K40" s="26" t="s">
        <v>46</v>
      </c>
      <c r="L40" s="3" t="s">
        <v>168</v>
      </c>
      <c r="M40" s="3" t="s">
        <v>180</v>
      </c>
      <c r="N40" s="1" t="s">
        <v>61</v>
      </c>
      <c r="O40" s="20">
        <v>-4.077</v>
      </c>
      <c r="P40" s="20">
        <v>0.14000000000000001</v>
      </c>
      <c r="Q40" s="20">
        <v>-5.0170000000000003</v>
      </c>
      <c r="R40" s="20">
        <v>3.5000000000000003E-2</v>
      </c>
      <c r="S40" s="20">
        <f t="shared" si="8"/>
        <v>0.94000000000000039</v>
      </c>
      <c r="T40" s="20">
        <f t="shared" si="9"/>
        <v>0.14430869689661813</v>
      </c>
      <c r="U40" s="20">
        <f t="shared" si="10"/>
        <v>2.0825000000000003E-2</v>
      </c>
      <c r="V40" s="8">
        <v>0.99</v>
      </c>
      <c r="W40" s="20">
        <f t="shared" si="11"/>
        <v>2.4999999999999602E-3</v>
      </c>
      <c r="X40" s="11"/>
      <c r="AF40" s="11"/>
      <c r="AG40" s="11"/>
      <c r="AH40" s="11"/>
      <c r="AI40" s="11"/>
      <c r="AJ40" s="11"/>
      <c r="AK40" s="11"/>
      <c r="AL40" s="11"/>
      <c r="AM40" s="11"/>
      <c r="AN40" s="11"/>
      <c r="AO40" s="11"/>
      <c r="AP40" s="11"/>
      <c r="AV40" s="1" t="s">
        <v>101</v>
      </c>
      <c r="AW40" s="26" t="s">
        <v>46</v>
      </c>
      <c r="AX40" s="6" t="s">
        <v>9</v>
      </c>
      <c r="AY40" s="3" t="s">
        <v>200</v>
      </c>
      <c r="AZ40" s="1" t="s">
        <v>203</v>
      </c>
      <c r="BA40" s="32">
        <v>-38.622</v>
      </c>
      <c r="BB40" s="32">
        <v>0.70099999999999996</v>
      </c>
      <c r="BC40" s="32">
        <v>-40.954999999999998</v>
      </c>
      <c r="BD40" s="32">
        <v>0.219</v>
      </c>
      <c r="BE40" s="32">
        <v>2.3330000000000002</v>
      </c>
      <c r="BF40" s="32">
        <v>0.73441268999999998</v>
      </c>
      <c r="BG40" s="32">
        <v>0.53936200000000001</v>
      </c>
      <c r="BH40" s="33">
        <v>1.07</v>
      </c>
      <c r="BI40" s="32">
        <v>1.5951690000000001</v>
      </c>
      <c r="BJ40" s="11"/>
    </row>
    <row r="41" spans="10:62">
      <c r="J41" s="26" t="s">
        <v>45</v>
      </c>
      <c r="K41" s="26" t="s">
        <v>46</v>
      </c>
      <c r="L41" s="3" t="s">
        <v>169</v>
      </c>
      <c r="M41" s="3" t="s">
        <v>181</v>
      </c>
      <c r="N41" s="1" t="s">
        <v>91</v>
      </c>
      <c r="O41" s="20">
        <v>71.561999999999998</v>
      </c>
      <c r="P41" s="20">
        <v>0.39300000000000002</v>
      </c>
      <c r="Q41" s="20">
        <v>69.635999999999996</v>
      </c>
      <c r="R41" s="20">
        <v>7.1999999999999995E-2</v>
      </c>
      <c r="S41" s="20">
        <f t="shared" si="8"/>
        <v>1.9260000000000019</v>
      </c>
      <c r="T41" s="20">
        <f t="shared" si="9"/>
        <v>0.39954098663341159</v>
      </c>
      <c r="U41" s="20">
        <f t="shared" si="10"/>
        <v>0.15963299999999997</v>
      </c>
      <c r="V41" s="8">
        <v>1.53</v>
      </c>
      <c r="W41" s="20">
        <f t="shared" si="11"/>
        <v>0.15681600000000151</v>
      </c>
      <c r="X41" s="11"/>
      <c r="AF41" s="11"/>
      <c r="AG41" s="11"/>
      <c r="AH41" s="11"/>
      <c r="AI41" s="11"/>
      <c r="AJ41" s="11"/>
      <c r="AK41" s="11"/>
      <c r="AL41" s="11"/>
      <c r="AM41" s="11"/>
      <c r="AN41" s="11"/>
      <c r="AO41" s="11"/>
      <c r="AP41" s="11"/>
      <c r="AV41" s="1" t="s">
        <v>101</v>
      </c>
      <c r="AW41" s="26" t="s">
        <v>46</v>
      </c>
      <c r="AX41" s="6" t="s">
        <v>11</v>
      </c>
      <c r="AY41" s="3" t="s">
        <v>176</v>
      </c>
      <c r="AZ41" s="1" t="s">
        <v>186</v>
      </c>
      <c r="BA41" s="32">
        <v>-41.331000000000003</v>
      </c>
      <c r="BB41" s="32">
        <v>0.25800000000000001</v>
      </c>
      <c r="BC41" s="32">
        <v>-43.83</v>
      </c>
      <c r="BD41" s="32">
        <v>0.17</v>
      </c>
      <c r="BE41" s="32">
        <v>2.4990000000000001</v>
      </c>
      <c r="BF41" s="32">
        <v>0.30897248999999999</v>
      </c>
      <c r="BG41" s="32">
        <v>9.5463999999999993E-2</v>
      </c>
      <c r="BH41" s="33">
        <v>1.53</v>
      </c>
      <c r="BI41" s="32">
        <v>0.93896100000000005</v>
      </c>
      <c r="BJ41" s="11"/>
    </row>
    <row r="42" spans="10:62" ht="17">
      <c r="J42" s="26" t="s">
        <v>45</v>
      </c>
      <c r="K42" s="26" t="s">
        <v>46</v>
      </c>
      <c r="L42" s="3" t="s">
        <v>171</v>
      </c>
      <c r="M42" s="3" t="s">
        <v>86</v>
      </c>
      <c r="N42" s="1" t="s">
        <v>92</v>
      </c>
      <c r="O42" s="20">
        <v>-8.3179999999999996</v>
      </c>
      <c r="P42" s="20">
        <v>0.30099999999999999</v>
      </c>
      <c r="Q42" s="20">
        <v>-8.6479999999999997</v>
      </c>
      <c r="R42" s="20">
        <v>0.224</v>
      </c>
      <c r="S42" s="20">
        <f t="shared" si="8"/>
        <v>0.33000000000000007</v>
      </c>
      <c r="T42" s="20">
        <f t="shared" si="9"/>
        <v>0.37520261193120708</v>
      </c>
      <c r="U42" s="20">
        <f t="shared" si="10"/>
        <v>0.14077699999999999</v>
      </c>
      <c r="V42" s="8">
        <v>0.47</v>
      </c>
      <c r="W42" s="20">
        <f t="shared" si="11"/>
        <v>1.9599999999999972E-2</v>
      </c>
      <c r="X42" s="11"/>
      <c r="AA42" s="10" t="s">
        <v>156</v>
      </c>
      <c r="AB42" s="11"/>
      <c r="AC42" s="11"/>
      <c r="AD42" s="11"/>
      <c r="AE42" s="11"/>
      <c r="AF42" s="11"/>
      <c r="AG42" s="11"/>
      <c r="AH42" s="11"/>
      <c r="AI42" s="11"/>
      <c r="AJ42" s="11"/>
      <c r="AK42" s="11"/>
      <c r="AL42" s="11"/>
      <c r="AM42" s="11"/>
      <c r="AN42" s="11"/>
      <c r="AO42" s="11"/>
      <c r="AP42" s="11"/>
      <c r="AV42" s="1" t="s">
        <v>101</v>
      </c>
      <c r="AW42" s="26" t="s">
        <v>46</v>
      </c>
      <c r="AX42" s="3" t="s">
        <v>166</v>
      </c>
      <c r="AY42" s="3" t="s">
        <v>125</v>
      </c>
      <c r="AZ42" s="1" t="s">
        <v>204</v>
      </c>
      <c r="BA42" s="32">
        <v>-4.3879999999999999</v>
      </c>
      <c r="BB42" s="32">
        <v>0.13300000000000001</v>
      </c>
      <c r="BC42" s="32">
        <v>-4.7889999999999997</v>
      </c>
      <c r="BD42" s="32">
        <v>0.11</v>
      </c>
      <c r="BE42" s="32">
        <v>0.40100000000000002</v>
      </c>
      <c r="BF42" s="32">
        <v>0.1725949</v>
      </c>
      <c r="BG42" s="32">
        <v>2.9789E-2</v>
      </c>
      <c r="BH42" s="33">
        <v>-0.82</v>
      </c>
      <c r="BI42" s="32">
        <v>1.4908410000000001</v>
      </c>
      <c r="BJ42" s="11"/>
    </row>
    <row r="43" spans="10:62">
      <c r="J43" s="26" t="s">
        <v>45</v>
      </c>
      <c r="K43" s="26" t="s">
        <v>46</v>
      </c>
      <c r="L43" s="3" t="s">
        <v>172</v>
      </c>
      <c r="M43" s="3" t="s">
        <v>182</v>
      </c>
      <c r="N43" s="1" t="s">
        <v>93</v>
      </c>
      <c r="O43" s="20">
        <v>10.29</v>
      </c>
      <c r="P43" s="20">
        <v>0.21099999999999999</v>
      </c>
      <c r="Q43" s="20">
        <v>10.589</v>
      </c>
      <c r="R43" s="20">
        <v>0.14000000000000001</v>
      </c>
      <c r="S43" s="20">
        <f t="shared" si="8"/>
        <v>-0.29900000000000126</v>
      </c>
      <c r="T43" s="20">
        <f t="shared" si="9"/>
        <v>0.25322124713380589</v>
      </c>
      <c r="U43" s="20">
        <f t="shared" si="10"/>
        <v>6.4120999999999997E-2</v>
      </c>
      <c r="V43" s="8">
        <v>-0.43</v>
      </c>
      <c r="W43" s="20">
        <f t="shared" si="11"/>
        <v>1.7160999999999666E-2</v>
      </c>
      <c r="X43" s="11"/>
      <c r="AA43" s="12" t="s">
        <v>30</v>
      </c>
      <c r="AB43" s="12" t="s">
        <v>31</v>
      </c>
      <c r="AC43" s="13" t="s">
        <v>32</v>
      </c>
      <c r="AD43" s="12" t="s">
        <v>33</v>
      </c>
      <c r="AE43" s="12" t="s">
        <v>34</v>
      </c>
      <c r="AF43" s="12" t="s">
        <v>35</v>
      </c>
      <c r="AG43" s="12" t="s">
        <v>36</v>
      </c>
      <c r="AH43" s="12" t="s">
        <v>37</v>
      </c>
      <c r="AI43" s="12" t="s">
        <v>38</v>
      </c>
      <c r="AJ43" s="12" t="s">
        <v>39</v>
      </c>
      <c r="AK43" s="14" t="s">
        <v>40</v>
      </c>
      <c r="AL43" s="12" t="s">
        <v>41</v>
      </c>
      <c r="AM43" s="12" t="s">
        <v>42</v>
      </c>
      <c r="AN43" s="12" t="s">
        <v>43</v>
      </c>
      <c r="AO43" s="11"/>
      <c r="AP43" s="11"/>
      <c r="AV43" s="1" t="s">
        <v>101</v>
      </c>
      <c r="AW43" s="26" t="s">
        <v>46</v>
      </c>
      <c r="AX43" s="3" t="s">
        <v>167</v>
      </c>
      <c r="AY43" s="3" t="s">
        <v>178</v>
      </c>
      <c r="AZ43" s="1" t="s">
        <v>59</v>
      </c>
      <c r="BA43" s="32">
        <v>12.904999999999999</v>
      </c>
      <c r="BB43" s="32">
        <v>0.27700000000000002</v>
      </c>
      <c r="BC43" s="32">
        <v>12.784000000000001</v>
      </c>
      <c r="BD43" s="32">
        <v>0.17100000000000001</v>
      </c>
      <c r="BE43" s="32">
        <v>0.121</v>
      </c>
      <c r="BF43" s="32">
        <v>0.32553033999999997</v>
      </c>
      <c r="BG43" s="32">
        <v>0.10596999999999999</v>
      </c>
      <c r="BH43" s="33">
        <v>-0.85</v>
      </c>
      <c r="BI43" s="32">
        <v>0.94284100000000004</v>
      </c>
      <c r="BJ43" s="11"/>
    </row>
    <row r="44" spans="10:62">
      <c r="J44" s="26" t="s">
        <v>45</v>
      </c>
      <c r="K44" s="26" t="s">
        <v>46</v>
      </c>
      <c r="L44" s="4" t="s">
        <v>173</v>
      </c>
      <c r="M44" s="3" t="s">
        <v>183</v>
      </c>
      <c r="N44" s="1" t="s">
        <v>94</v>
      </c>
      <c r="O44" s="20">
        <v>13.407</v>
      </c>
      <c r="P44" s="20">
        <v>0.13400000000000001</v>
      </c>
      <c r="Q44" s="20">
        <v>12.718</v>
      </c>
      <c r="R44" s="20">
        <v>0.216</v>
      </c>
      <c r="S44" s="20">
        <f t="shared" si="8"/>
        <v>0.68900000000000006</v>
      </c>
      <c r="T44" s="20">
        <f t="shared" si="9"/>
        <v>0.25418890613085382</v>
      </c>
      <c r="U44" s="20">
        <f t="shared" si="10"/>
        <v>6.4612000000000017E-2</v>
      </c>
      <c r="V44" s="8">
        <v>-0.27</v>
      </c>
      <c r="W44" s="20">
        <f t="shared" si="11"/>
        <v>0.91968100000000019</v>
      </c>
      <c r="X44" s="11"/>
      <c r="AA44" s="26" t="s">
        <v>82</v>
      </c>
      <c r="AB44" s="26" t="s">
        <v>46</v>
      </c>
      <c r="AC44" s="3" t="s">
        <v>162</v>
      </c>
      <c r="AD44" s="3" t="s">
        <v>199</v>
      </c>
      <c r="AE44" s="1" t="s">
        <v>202</v>
      </c>
      <c r="AF44" s="20">
        <v>4.7489999999999997</v>
      </c>
      <c r="AG44" s="20">
        <v>0.39800000000000002</v>
      </c>
      <c r="AH44" s="20">
        <v>2.6240000000000001</v>
      </c>
      <c r="AI44" s="20">
        <v>0.248</v>
      </c>
      <c r="AJ44" s="20">
        <f>AF44-AH44</f>
        <v>2.1249999999999996</v>
      </c>
      <c r="AK44" s="20">
        <f>SQRT((AG44)^2 + (AI44)^2)</f>
        <v>0.46894349339765873</v>
      </c>
      <c r="AL44" s="20">
        <f>AK44^2</f>
        <v>0.21990799999999999</v>
      </c>
      <c r="AM44" s="8">
        <v>0.56999999999999995</v>
      </c>
      <c r="AN44" s="20">
        <f>(AJ44-AM44)^2</f>
        <v>2.4180249999999992</v>
      </c>
      <c r="AO44" s="11"/>
      <c r="AP44" s="11"/>
      <c r="AV44" s="1" t="s">
        <v>101</v>
      </c>
      <c r="AW44" s="26" t="s">
        <v>46</v>
      </c>
      <c r="AX44" s="3" t="s">
        <v>13</v>
      </c>
      <c r="AY44" s="3" t="s">
        <v>179</v>
      </c>
      <c r="AZ44" s="1" t="s">
        <v>187</v>
      </c>
      <c r="BA44" s="32">
        <v>16.305</v>
      </c>
      <c r="BB44" s="32">
        <v>0.18099999999999999</v>
      </c>
      <c r="BC44" s="32">
        <v>13.923</v>
      </c>
      <c r="BD44" s="32">
        <v>4.2000000000000003E-2</v>
      </c>
      <c r="BE44" s="32">
        <v>2.3820000000000001</v>
      </c>
      <c r="BF44" s="32">
        <v>0.18580904000000001</v>
      </c>
      <c r="BG44" s="32">
        <v>3.4525E-2</v>
      </c>
      <c r="BH44" s="33">
        <v>0.46</v>
      </c>
      <c r="BI44" s="32">
        <v>3.6940840000000001</v>
      </c>
      <c r="BJ44" s="11"/>
    </row>
    <row r="45" spans="10:62">
      <c r="J45" s="26" t="s">
        <v>45</v>
      </c>
      <c r="K45" s="26" t="s">
        <v>46</v>
      </c>
      <c r="L45" s="4" t="s">
        <v>174</v>
      </c>
      <c r="M45" s="3" t="s">
        <v>184</v>
      </c>
      <c r="N45" s="1" t="s">
        <v>188</v>
      </c>
      <c r="O45" s="20">
        <v>10.347</v>
      </c>
      <c r="P45" s="20">
        <v>3.5999999999999997E-2</v>
      </c>
      <c r="Q45" s="20">
        <v>11.186</v>
      </c>
      <c r="R45" s="20">
        <v>5.3999999999999999E-2</v>
      </c>
      <c r="S45" s="20">
        <f t="shared" si="8"/>
        <v>-0.83900000000000041</v>
      </c>
      <c r="T45" s="20">
        <f t="shared" si="9"/>
        <v>6.4899922958351799E-2</v>
      </c>
      <c r="U45" s="20">
        <f t="shared" si="10"/>
        <v>4.2119999999999987E-3</v>
      </c>
      <c r="V45" s="8">
        <v>-0.63</v>
      </c>
      <c r="W45" s="20">
        <f t="shared" si="11"/>
        <v>4.3681000000000171E-2</v>
      </c>
      <c r="X45" s="11"/>
      <c r="AA45" s="1" t="s">
        <v>101</v>
      </c>
      <c r="AB45" s="26" t="s">
        <v>46</v>
      </c>
      <c r="AC45" s="6" t="s">
        <v>9</v>
      </c>
      <c r="AD45" s="3" t="s">
        <v>200</v>
      </c>
      <c r="AE45" s="1" t="s">
        <v>203</v>
      </c>
      <c r="AF45" s="20">
        <v>-38.622</v>
      </c>
      <c r="AG45" s="20">
        <v>0.70099999999999996</v>
      </c>
      <c r="AH45" s="20">
        <v>-40.954999999999998</v>
      </c>
      <c r="AI45" s="20">
        <v>0.219</v>
      </c>
      <c r="AJ45" s="20">
        <f t="shared" ref="AJ45:AJ57" si="12">AF45-AH45</f>
        <v>2.3329999999999984</v>
      </c>
      <c r="AK45" s="20">
        <f t="shared" ref="AK45:AK57" si="13">SQRT((AG45)^2 + (AI45)^2)</f>
        <v>0.73441269052216129</v>
      </c>
      <c r="AL45" s="20">
        <f t="shared" ref="AL45:AL57" si="14">AK45^2</f>
        <v>0.5393619999999999</v>
      </c>
      <c r="AM45" s="8">
        <v>1.07</v>
      </c>
      <c r="AN45" s="20">
        <f t="shared" ref="AN45:AN57" si="15">(AJ45-AM45)^2</f>
        <v>1.5951689999999958</v>
      </c>
      <c r="AO45" s="11"/>
      <c r="AP45" s="11"/>
      <c r="AV45" s="1" t="s">
        <v>101</v>
      </c>
      <c r="AW45" s="26" t="s">
        <v>46</v>
      </c>
      <c r="AX45" s="3" t="s">
        <v>168</v>
      </c>
      <c r="AY45" s="3" t="s">
        <v>180</v>
      </c>
      <c r="AZ45" s="1" t="s">
        <v>61</v>
      </c>
      <c r="BA45" s="32">
        <v>-4.8209999999999997</v>
      </c>
      <c r="BB45" s="32">
        <v>0.153</v>
      </c>
      <c r="BC45" s="32">
        <v>-5.0659999999999998</v>
      </c>
      <c r="BD45" s="32">
        <v>0.04</v>
      </c>
      <c r="BE45" s="32">
        <v>0.245</v>
      </c>
      <c r="BF45" s="32">
        <v>0.15814233999999999</v>
      </c>
      <c r="BG45" s="32">
        <v>2.5009E-2</v>
      </c>
      <c r="BH45" s="33">
        <v>0.99</v>
      </c>
      <c r="BI45" s="32">
        <v>0.55502499999999999</v>
      </c>
      <c r="BJ45" s="11"/>
    </row>
    <row r="46" spans="10:62">
      <c r="J46" s="26" t="s">
        <v>45</v>
      </c>
      <c r="K46" s="26" t="s">
        <v>46</v>
      </c>
      <c r="L46" s="4" t="s">
        <v>175</v>
      </c>
      <c r="M46" s="3" t="s">
        <v>185</v>
      </c>
      <c r="N46" s="1" t="s">
        <v>189</v>
      </c>
      <c r="O46" s="20">
        <v>15.09</v>
      </c>
      <c r="P46" s="20">
        <v>0.11</v>
      </c>
      <c r="Q46" s="20">
        <v>14.744999999999999</v>
      </c>
      <c r="R46" s="20">
        <v>8.6999999999999994E-2</v>
      </c>
      <c r="S46" s="20">
        <f t="shared" si="8"/>
        <v>0.34500000000000064</v>
      </c>
      <c r="T46" s="20">
        <f t="shared" si="9"/>
        <v>0.14024621207005913</v>
      </c>
      <c r="U46" s="20">
        <f t="shared" si="10"/>
        <v>1.9668999999999999E-2</v>
      </c>
      <c r="V46" s="8">
        <v>0.19</v>
      </c>
      <c r="W46" s="20">
        <f t="shared" si="11"/>
        <v>2.4025000000000199E-2</v>
      </c>
      <c r="X46" s="11"/>
      <c r="AA46" s="1" t="s">
        <v>101</v>
      </c>
      <c r="AB46" s="26" t="s">
        <v>46</v>
      </c>
      <c r="AC46" s="6" t="s">
        <v>11</v>
      </c>
      <c r="AD46" s="3" t="s">
        <v>176</v>
      </c>
      <c r="AE46" s="1" t="s">
        <v>186</v>
      </c>
      <c r="AF46" s="20">
        <v>-41.331000000000003</v>
      </c>
      <c r="AG46" s="20">
        <v>0.25800000000000001</v>
      </c>
      <c r="AH46" s="20">
        <v>-43.83</v>
      </c>
      <c r="AI46" s="20">
        <v>0.17</v>
      </c>
      <c r="AJ46" s="20">
        <f t="shared" si="12"/>
        <v>2.4989999999999952</v>
      </c>
      <c r="AK46" s="20">
        <f t="shared" si="13"/>
        <v>0.30897249068485044</v>
      </c>
      <c r="AL46" s="20">
        <f t="shared" si="14"/>
        <v>9.5463999999999993E-2</v>
      </c>
      <c r="AM46" s="8">
        <v>1.53</v>
      </c>
      <c r="AN46" s="20">
        <f t="shared" si="15"/>
        <v>0.93896099999999072</v>
      </c>
      <c r="AO46" s="11"/>
      <c r="AP46" s="11"/>
      <c r="AV46" s="1" t="s">
        <v>101</v>
      </c>
      <c r="AW46" s="26" t="s">
        <v>46</v>
      </c>
      <c r="AX46" s="3" t="s">
        <v>169</v>
      </c>
      <c r="AY46" s="3" t="s">
        <v>181</v>
      </c>
      <c r="AZ46" s="1" t="s">
        <v>91</v>
      </c>
      <c r="BA46" s="32">
        <v>69.619</v>
      </c>
      <c r="BB46" s="32">
        <v>0.185</v>
      </c>
      <c r="BC46" s="32">
        <v>69.454999999999998</v>
      </c>
      <c r="BD46" s="32">
        <v>4.5999999999999999E-2</v>
      </c>
      <c r="BE46" s="32">
        <v>0.16400000000000001</v>
      </c>
      <c r="BF46" s="32">
        <v>0.19063316</v>
      </c>
      <c r="BG46" s="32">
        <v>3.6340999999999998E-2</v>
      </c>
      <c r="BH46" s="33">
        <v>1.53</v>
      </c>
      <c r="BI46" s="32">
        <v>1.8659559999999999</v>
      </c>
      <c r="BJ46" s="11"/>
    </row>
    <row r="47" spans="10:62">
      <c r="J47" s="15" t="s">
        <v>45</v>
      </c>
      <c r="K47" s="1" t="s">
        <v>70</v>
      </c>
      <c r="L47" s="3" t="s">
        <v>14</v>
      </c>
      <c r="M47" s="3" t="s">
        <v>190</v>
      </c>
      <c r="N47" s="1" t="s">
        <v>195</v>
      </c>
      <c r="O47" s="20">
        <v>-5.9969999999999999</v>
      </c>
      <c r="P47" s="20">
        <v>0.13500000000000001</v>
      </c>
      <c r="Q47" s="20">
        <v>-5.0519999999999996</v>
      </c>
      <c r="R47" s="20">
        <v>0.17399999999999999</v>
      </c>
      <c r="S47" s="20">
        <f>O47-Q47</f>
        <v>-0.94500000000000028</v>
      </c>
      <c r="T47" s="20">
        <f>SQRT((P47)^2 + (R47)^2)</f>
        <v>0.22022942582679547</v>
      </c>
      <c r="U47" s="20">
        <f>T47^2</f>
        <v>4.8501000000000009E-2</v>
      </c>
      <c r="V47" s="8">
        <v>-0.51</v>
      </c>
      <c r="W47" s="20">
        <f>(S47-V47)^2</f>
        <v>0.18922500000000023</v>
      </c>
      <c r="X47" s="11"/>
      <c r="AA47" s="26" t="s">
        <v>82</v>
      </c>
      <c r="AB47" s="26" t="s">
        <v>46</v>
      </c>
      <c r="AC47" s="3" t="s">
        <v>166</v>
      </c>
      <c r="AD47" s="3" t="s">
        <v>125</v>
      </c>
      <c r="AE47" s="1" t="s">
        <v>204</v>
      </c>
      <c r="AF47" s="20">
        <v>-4.3090000000000002</v>
      </c>
      <c r="AG47" s="20">
        <v>0.23400000000000001</v>
      </c>
      <c r="AH47" s="20">
        <v>-4.2960000000000003</v>
      </c>
      <c r="AI47" s="20">
        <v>4.8000000000000001E-2</v>
      </c>
      <c r="AJ47" s="20">
        <f t="shared" si="12"/>
        <v>-1.2999999999999901E-2</v>
      </c>
      <c r="AK47" s="20">
        <f t="shared" si="13"/>
        <v>0.23887235084873262</v>
      </c>
      <c r="AL47" s="20">
        <f t="shared" si="14"/>
        <v>5.7060000000000013E-2</v>
      </c>
      <c r="AM47" s="8">
        <v>-0.82</v>
      </c>
      <c r="AN47" s="20">
        <f t="shared" si="15"/>
        <v>0.65124900000000008</v>
      </c>
      <c r="AO47" s="11"/>
      <c r="AP47" s="11"/>
      <c r="AV47" s="1" t="s">
        <v>101</v>
      </c>
      <c r="AW47" s="26" t="s">
        <v>46</v>
      </c>
      <c r="AX47" s="3" t="s">
        <v>170</v>
      </c>
      <c r="AY47" s="3" t="s">
        <v>201</v>
      </c>
      <c r="AZ47" s="1" t="s">
        <v>205</v>
      </c>
      <c r="BA47" s="32">
        <v>11.676</v>
      </c>
      <c r="BB47" s="32">
        <v>5.1999999999999998E-2</v>
      </c>
      <c r="BC47" s="32">
        <v>12.621</v>
      </c>
      <c r="BD47" s="32">
        <v>0.14499999999999999</v>
      </c>
      <c r="BE47" s="32">
        <v>-0.94499999999999995</v>
      </c>
      <c r="BF47" s="32">
        <v>0.15404219999999999</v>
      </c>
      <c r="BG47" s="32">
        <v>2.3729E-2</v>
      </c>
      <c r="BH47" s="33">
        <v>0.06</v>
      </c>
      <c r="BI47" s="32">
        <v>1.010025</v>
      </c>
      <c r="BJ47" s="11"/>
    </row>
    <row r="48" spans="10:62">
      <c r="J48" s="15" t="s">
        <v>45</v>
      </c>
      <c r="K48" s="1" t="s">
        <v>70</v>
      </c>
      <c r="L48" s="4" t="s">
        <v>163</v>
      </c>
      <c r="M48" s="3" t="s">
        <v>191</v>
      </c>
      <c r="N48" s="1" t="s">
        <v>196</v>
      </c>
      <c r="O48" s="20">
        <v>-8.5210000000000008</v>
      </c>
      <c r="P48" s="20">
        <v>0.13300000000000001</v>
      </c>
      <c r="Q48" s="20">
        <v>-8.0579999999999998</v>
      </c>
      <c r="R48" s="20">
        <v>0.129</v>
      </c>
      <c r="S48" s="20">
        <f>O48-Q48</f>
        <v>-0.46300000000000097</v>
      </c>
      <c r="T48" s="20">
        <f>SQRT((P48)^2 + (R48)^2)</f>
        <v>0.18528356645962965</v>
      </c>
      <c r="U48" s="20">
        <f>T48^2</f>
        <v>3.4329999999999999E-2</v>
      </c>
      <c r="V48" s="8">
        <v>1.1299999999999999</v>
      </c>
      <c r="W48" s="20">
        <f>(S48-V48)^2</f>
        <v>2.5376490000000027</v>
      </c>
      <c r="X48" s="11"/>
      <c r="AA48" s="26" t="s">
        <v>82</v>
      </c>
      <c r="AB48" s="26" t="s">
        <v>46</v>
      </c>
      <c r="AC48" s="3" t="s">
        <v>167</v>
      </c>
      <c r="AD48" s="3" t="s">
        <v>178</v>
      </c>
      <c r="AE48" s="1" t="s">
        <v>59</v>
      </c>
      <c r="AF48" s="20">
        <v>12.282999999999999</v>
      </c>
      <c r="AG48" s="20">
        <v>0.18</v>
      </c>
      <c r="AH48" s="20">
        <v>12.984999999999999</v>
      </c>
      <c r="AI48" s="20">
        <v>3.4000000000000002E-2</v>
      </c>
      <c r="AJ48" s="20">
        <f t="shared" si="12"/>
        <v>-0.70199999999999996</v>
      </c>
      <c r="AK48" s="20">
        <f t="shared" si="13"/>
        <v>0.18318296864064626</v>
      </c>
      <c r="AL48" s="20">
        <f t="shared" si="14"/>
        <v>3.3555999999999989E-2</v>
      </c>
      <c r="AM48" s="8">
        <v>-0.85</v>
      </c>
      <c r="AN48" s="20">
        <f t="shared" si="15"/>
        <v>2.1904000000000007E-2</v>
      </c>
      <c r="AO48" s="11"/>
      <c r="AP48" s="11"/>
      <c r="AV48" s="1" t="s">
        <v>101</v>
      </c>
      <c r="AW48" s="26" t="s">
        <v>46</v>
      </c>
      <c r="AX48" s="3" t="s">
        <v>171</v>
      </c>
      <c r="AY48" s="3" t="s">
        <v>86</v>
      </c>
      <c r="AZ48" s="1" t="s">
        <v>92</v>
      </c>
      <c r="BA48" s="32">
        <v>-7.165</v>
      </c>
      <c r="BB48" s="32">
        <v>0.252</v>
      </c>
      <c r="BC48" s="32">
        <v>-8.4420000000000002</v>
      </c>
      <c r="BD48" s="32">
        <v>0.109</v>
      </c>
      <c r="BE48" s="32">
        <v>1.2769999999999999</v>
      </c>
      <c r="BF48" s="32">
        <v>0.27456329000000002</v>
      </c>
      <c r="BG48" s="32">
        <v>7.5384999999999994E-2</v>
      </c>
      <c r="BH48" s="33">
        <v>0.47</v>
      </c>
      <c r="BI48" s="32">
        <v>0.65124899999999997</v>
      </c>
      <c r="BJ48" s="11"/>
    </row>
    <row r="49" spans="10:62">
      <c r="J49" s="15" t="s">
        <v>45</v>
      </c>
      <c r="K49" s="1" t="s">
        <v>70</v>
      </c>
      <c r="L49" s="4" t="s">
        <v>164</v>
      </c>
      <c r="M49" s="3" t="s">
        <v>192</v>
      </c>
      <c r="N49" s="1" t="s">
        <v>77</v>
      </c>
      <c r="O49" s="20">
        <v>11.65</v>
      </c>
      <c r="P49" s="20">
        <v>0.18</v>
      </c>
      <c r="Q49" s="20">
        <v>11.927</v>
      </c>
      <c r="R49" s="20">
        <v>0.14399999999999999</v>
      </c>
      <c r="S49" s="20">
        <f>O49-Q49</f>
        <v>-0.27699999999999925</v>
      </c>
      <c r="T49" s="20">
        <f>SQRT((P49)^2 + (R49)^2)</f>
        <v>0.23051247254758253</v>
      </c>
      <c r="U49" s="20">
        <f>T49^2</f>
        <v>5.3135999999999989E-2</v>
      </c>
      <c r="V49" s="8">
        <v>0.47</v>
      </c>
      <c r="W49" s="20">
        <f>(S49-V49)^2</f>
        <v>0.55800899999999887</v>
      </c>
      <c r="X49" s="11"/>
      <c r="AA49" s="26" t="s">
        <v>82</v>
      </c>
      <c r="AB49" s="26" t="s">
        <v>46</v>
      </c>
      <c r="AC49" s="3" t="s">
        <v>13</v>
      </c>
      <c r="AD49" s="3" t="s">
        <v>179</v>
      </c>
      <c r="AE49" s="1" t="s">
        <v>187</v>
      </c>
      <c r="AF49" s="20">
        <v>16.119</v>
      </c>
      <c r="AG49" s="20">
        <v>0.214</v>
      </c>
      <c r="AH49" s="20">
        <v>13.843</v>
      </c>
      <c r="AI49" s="20">
        <v>9.2999999999999999E-2</v>
      </c>
      <c r="AJ49" s="20">
        <f t="shared" si="12"/>
        <v>2.2759999999999998</v>
      </c>
      <c r="AK49" s="20">
        <f t="shared" si="13"/>
        <v>0.23333452380648689</v>
      </c>
      <c r="AL49" s="20">
        <f t="shared" si="14"/>
        <v>5.4445E-2</v>
      </c>
      <c r="AM49" s="8">
        <v>0.46</v>
      </c>
      <c r="AN49" s="20">
        <f t="shared" si="15"/>
        <v>3.2978559999999995</v>
      </c>
      <c r="AO49" s="11"/>
      <c r="AP49" s="11"/>
      <c r="AV49" s="1" t="s">
        <v>101</v>
      </c>
      <c r="AW49" s="26" t="s">
        <v>46</v>
      </c>
      <c r="AX49" s="3" t="s">
        <v>172</v>
      </c>
      <c r="AY49" s="3" t="s">
        <v>182</v>
      </c>
      <c r="AZ49" s="1" t="s">
        <v>93</v>
      </c>
      <c r="BA49" s="32">
        <v>10.811999999999999</v>
      </c>
      <c r="BB49" s="32">
        <v>0.11</v>
      </c>
      <c r="BC49" s="32">
        <v>10.672000000000001</v>
      </c>
      <c r="BD49" s="32">
        <v>8.7999999999999995E-2</v>
      </c>
      <c r="BE49" s="32">
        <v>0.14000000000000001</v>
      </c>
      <c r="BF49" s="32">
        <v>0.14086873</v>
      </c>
      <c r="BG49" s="32">
        <v>1.9844000000000001E-2</v>
      </c>
      <c r="BH49" s="33">
        <v>-0.43</v>
      </c>
      <c r="BI49" s="32">
        <v>0.32490000000000002</v>
      </c>
      <c r="BJ49" s="11"/>
    </row>
    <row r="50" spans="10:62">
      <c r="J50" s="15" t="s">
        <v>45</v>
      </c>
      <c r="K50" s="1" t="s">
        <v>70</v>
      </c>
      <c r="L50" s="4" t="s">
        <v>165</v>
      </c>
      <c r="M50" s="3" t="s">
        <v>193</v>
      </c>
      <c r="N50" s="1" t="s">
        <v>197</v>
      </c>
      <c r="O50" s="20">
        <v>7.6260000000000003</v>
      </c>
      <c r="P50" s="20">
        <v>0.152</v>
      </c>
      <c r="Q50" s="20">
        <v>6.1989999999999998</v>
      </c>
      <c r="R50" s="20">
        <v>0.10299999999999999</v>
      </c>
      <c r="S50" s="20">
        <f>O50-Q50</f>
        <v>1.4270000000000005</v>
      </c>
      <c r="T50" s="20">
        <f>SQRT((P50)^2 + (R50)^2)</f>
        <v>0.18361100184901774</v>
      </c>
      <c r="U50" s="20">
        <f>T50^2</f>
        <v>3.3712999999999993E-2</v>
      </c>
      <c r="V50" s="8">
        <v>0.97</v>
      </c>
      <c r="W50" s="20">
        <f>(S50-V50)^2</f>
        <v>0.20884900000000048</v>
      </c>
      <c r="X50" s="11"/>
      <c r="AA50" s="26" t="s">
        <v>82</v>
      </c>
      <c r="AB50" s="26" t="s">
        <v>46</v>
      </c>
      <c r="AC50" s="3" t="s">
        <v>168</v>
      </c>
      <c r="AD50" s="3" t="s">
        <v>180</v>
      </c>
      <c r="AE50" s="1" t="s">
        <v>61</v>
      </c>
      <c r="AF50" s="20">
        <v>-4.7889999999999997</v>
      </c>
      <c r="AG50" s="20">
        <v>9.2999999999999999E-2</v>
      </c>
      <c r="AH50" s="20">
        <v>-4.9820000000000002</v>
      </c>
      <c r="AI50" s="20">
        <v>1.9E-2</v>
      </c>
      <c r="AJ50" s="20">
        <f t="shared" si="12"/>
        <v>0.1930000000000005</v>
      </c>
      <c r="AK50" s="20">
        <f t="shared" si="13"/>
        <v>9.4921019800674286E-2</v>
      </c>
      <c r="AL50" s="20">
        <f t="shared" si="14"/>
        <v>9.0100000000000006E-3</v>
      </c>
      <c r="AM50" s="8">
        <v>0.99</v>
      </c>
      <c r="AN50" s="20">
        <f t="shared" si="15"/>
        <v>0.63520899999999914</v>
      </c>
      <c r="AO50" s="11"/>
      <c r="AP50" s="11"/>
      <c r="AV50" s="1" t="s">
        <v>101</v>
      </c>
      <c r="AW50" s="26" t="s">
        <v>46</v>
      </c>
      <c r="AX50" s="6" t="s">
        <v>173</v>
      </c>
      <c r="AY50" s="3" t="s">
        <v>183</v>
      </c>
      <c r="AZ50" s="1" t="s">
        <v>94</v>
      </c>
      <c r="BA50" s="32">
        <v>13.137</v>
      </c>
      <c r="BB50" s="32">
        <v>0.16800000000000001</v>
      </c>
      <c r="BC50" s="32">
        <v>12.03</v>
      </c>
      <c r="BD50" s="32">
        <v>0.122</v>
      </c>
      <c r="BE50" s="32">
        <v>1.107</v>
      </c>
      <c r="BF50" s="32">
        <v>0.20762465999999999</v>
      </c>
      <c r="BG50" s="32">
        <v>4.3108E-2</v>
      </c>
      <c r="BH50" s="33">
        <v>-0.27</v>
      </c>
      <c r="BI50" s="32">
        <v>1.896129</v>
      </c>
      <c r="BJ50" s="11"/>
    </row>
    <row r="51" spans="10:62">
      <c r="J51" s="15" t="s">
        <v>45</v>
      </c>
      <c r="K51" s="1" t="s">
        <v>70</v>
      </c>
      <c r="L51" s="4" t="s">
        <v>12</v>
      </c>
      <c r="M51" s="3" t="s">
        <v>194</v>
      </c>
      <c r="N51" s="1" t="s">
        <v>198</v>
      </c>
      <c r="O51" s="20">
        <v>-23.917000000000002</v>
      </c>
      <c r="P51" s="20">
        <v>0.10299999999999999</v>
      </c>
      <c r="Q51" s="20">
        <v>-24.192</v>
      </c>
      <c r="R51" s="20">
        <v>0.17699999999999999</v>
      </c>
      <c r="S51" s="20">
        <f>O51-Q51</f>
        <v>0.27499999999999858</v>
      </c>
      <c r="T51" s="20">
        <f>SQRT((P51)^2 + (R51)^2)</f>
        <v>0.20478769494283586</v>
      </c>
      <c r="U51" s="20">
        <f>T51^2</f>
        <v>4.1937999999999996E-2</v>
      </c>
      <c r="V51" s="8">
        <v>0.02</v>
      </c>
      <c r="W51" s="20">
        <f>(S51-V51)^2</f>
        <v>6.5024999999999264E-2</v>
      </c>
      <c r="X51" s="11"/>
      <c r="AA51" s="26" t="s">
        <v>82</v>
      </c>
      <c r="AB51" s="26" t="s">
        <v>46</v>
      </c>
      <c r="AC51" s="3" t="s">
        <v>169</v>
      </c>
      <c r="AD51" s="3" t="s">
        <v>181</v>
      </c>
      <c r="AE51" s="1" t="s">
        <v>91</v>
      </c>
      <c r="AF51" s="20">
        <v>70.179000000000002</v>
      </c>
      <c r="AG51" s="20">
        <v>0.24099999999999999</v>
      </c>
      <c r="AH51" s="20">
        <v>69.418000000000006</v>
      </c>
      <c r="AI51" s="20">
        <v>0.04</v>
      </c>
      <c r="AJ51" s="20">
        <f t="shared" si="12"/>
        <v>0.76099999999999568</v>
      </c>
      <c r="AK51" s="20">
        <f t="shared" si="13"/>
        <v>0.24429695045169925</v>
      </c>
      <c r="AL51" s="20">
        <f t="shared" si="14"/>
        <v>5.9680999999999998E-2</v>
      </c>
      <c r="AM51" s="8">
        <v>1.53</v>
      </c>
      <c r="AN51" s="20">
        <f t="shared" si="15"/>
        <v>0.59136100000000669</v>
      </c>
      <c r="AO51" s="11"/>
      <c r="AP51" s="11"/>
      <c r="AV51" s="1" t="s">
        <v>101</v>
      </c>
      <c r="AW51" s="26" t="s">
        <v>46</v>
      </c>
      <c r="AX51" s="6" t="s">
        <v>174</v>
      </c>
      <c r="AY51" s="3" t="s">
        <v>184</v>
      </c>
      <c r="AZ51" s="1" t="s">
        <v>188</v>
      </c>
      <c r="BA51" s="32">
        <v>10.42</v>
      </c>
      <c r="BB51" s="32">
        <v>0.05</v>
      </c>
      <c r="BC51" s="32">
        <v>11.746</v>
      </c>
      <c r="BD51" s="32">
        <v>0.17100000000000001</v>
      </c>
      <c r="BE51" s="32">
        <v>-1.3260000000000001</v>
      </c>
      <c r="BF51" s="32">
        <v>0.17816003999999999</v>
      </c>
      <c r="BG51" s="32">
        <v>3.1740999999999998E-2</v>
      </c>
      <c r="BH51" s="33">
        <v>-0.63</v>
      </c>
      <c r="BI51" s="32">
        <v>0.48441600000000001</v>
      </c>
      <c r="BJ51" s="11"/>
    </row>
    <row r="52" spans="10:62">
      <c r="O52" s="11"/>
      <c r="P52" s="11"/>
      <c r="Q52" s="11"/>
      <c r="R52" s="11"/>
      <c r="S52" s="11"/>
      <c r="T52" s="11"/>
      <c r="U52" s="18" t="s">
        <v>67</v>
      </c>
      <c r="V52" s="18"/>
      <c r="W52" s="18" t="s">
        <v>67</v>
      </c>
      <c r="X52" s="11"/>
      <c r="AA52" s="26" t="s">
        <v>82</v>
      </c>
      <c r="AB52" s="26" t="s">
        <v>46</v>
      </c>
      <c r="AC52" s="3" t="s">
        <v>170</v>
      </c>
      <c r="AD52" s="3" t="s">
        <v>201</v>
      </c>
      <c r="AE52" s="1" t="s">
        <v>205</v>
      </c>
      <c r="AF52" s="20">
        <v>11.673999999999999</v>
      </c>
      <c r="AG52" s="20">
        <v>0.111</v>
      </c>
      <c r="AH52" s="20">
        <v>12.246</v>
      </c>
      <c r="AI52" s="20">
        <v>0.17299999999999999</v>
      </c>
      <c r="AJ52" s="20">
        <f t="shared" si="12"/>
        <v>-0.57200000000000095</v>
      </c>
      <c r="AK52" s="20">
        <f t="shared" si="13"/>
        <v>0.20554804791094464</v>
      </c>
      <c r="AL52" s="20">
        <f t="shared" si="14"/>
        <v>4.2249999999999989E-2</v>
      </c>
      <c r="AM52" s="8">
        <v>0.06</v>
      </c>
      <c r="AN52" s="20">
        <f t="shared" si="15"/>
        <v>0.39942400000000128</v>
      </c>
      <c r="AO52" s="11"/>
      <c r="AP52" s="11"/>
      <c r="AV52" s="1" t="s">
        <v>101</v>
      </c>
      <c r="AW52" s="26" t="s">
        <v>46</v>
      </c>
      <c r="AX52" s="6" t="s">
        <v>175</v>
      </c>
      <c r="AY52" s="3" t="s">
        <v>185</v>
      </c>
      <c r="AZ52" s="1" t="s">
        <v>189</v>
      </c>
      <c r="BA52" s="32">
        <v>14.385</v>
      </c>
      <c r="BB52" s="32">
        <v>5.5E-2</v>
      </c>
      <c r="BC52" s="32">
        <v>14.122999999999999</v>
      </c>
      <c r="BD52" s="32">
        <v>0.159</v>
      </c>
      <c r="BE52" s="32">
        <v>0.26200000000000001</v>
      </c>
      <c r="BF52" s="32">
        <v>0.16824386999999999</v>
      </c>
      <c r="BG52" s="32">
        <v>2.8306000000000001E-2</v>
      </c>
      <c r="BH52" s="33">
        <v>0.19</v>
      </c>
      <c r="BI52" s="32">
        <v>5.1840000000000002E-3</v>
      </c>
      <c r="BJ52" s="11"/>
    </row>
    <row r="53" spans="10:62">
      <c r="O53" s="11"/>
      <c r="P53" s="11"/>
      <c r="Q53" s="11"/>
      <c r="R53" s="11"/>
      <c r="S53" s="11"/>
      <c r="T53" s="11"/>
      <c r="U53" s="20">
        <f>SUM(U36:U51)</f>
        <v>1.2656949999999996</v>
      </c>
      <c r="V53" s="20"/>
      <c r="W53" s="20">
        <f>SUM(W36:W51)</f>
        <v>22.866454999999966</v>
      </c>
      <c r="X53" s="11"/>
      <c r="AA53" s="26" t="s">
        <v>82</v>
      </c>
      <c r="AB53" s="26" t="s">
        <v>46</v>
      </c>
      <c r="AC53" s="3" t="s">
        <v>171</v>
      </c>
      <c r="AD53" s="3" t="s">
        <v>86</v>
      </c>
      <c r="AE53" s="1" t="s">
        <v>92</v>
      </c>
      <c r="AF53" s="20">
        <v>-7.7270000000000003</v>
      </c>
      <c r="AG53" s="20">
        <v>0.34300000000000003</v>
      </c>
      <c r="AH53" s="20">
        <v>-8.2859999999999996</v>
      </c>
      <c r="AI53" s="20">
        <v>9.9000000000000005E-2</v>
      </c>
      <c r="AJ53" s="20">
        <f t="shared" si="12"/>
        <v>0.55899999999999928</v>
      </c>
      <c r="AK53" s="20">
        <f t="shared" si="13"/>
        <v>0.35700140055747681</v>
      </c>
      <c r="AL53" s="20">
        <f t="shared" si="14"/>
        <v>0.12745000000000001</v>
      </c>
      <c r="AM53" s="8">
        <v>0.47</v>
      </c>
      <c r="AN53" s="20">
        <f t="shared" si="15"/>
        <v>7.9209999999998761E-3</v>
      </c>
      <c r="AO53" s="11"/>
      <c r="AP53" s="11"/>
      <c r="AV53" s="1" t="s">
        <v>101</v>
      </c>
      <c r="AW53" s="1" t="s">
        <v>70</v>
      </c>
      <c r="AX53" s="3" t="s">
        <v>14</v>
      </c>
      <c r="AY53" s="3" t="s">
        <v>190</v>
      </c>
      <c r="AZ53" s="1" t="s">
        <v>195</v>
      </c>
      <c r="BA53" s="20">
        <v>-5.3040000000000003</v>
      </c>
      <c r="BB53" s="20">
        <v>6.8000000000000005E-2</v>
      </c>
      <c r="BC53" s="20">
        <v>-5.25</v>
      </c>
      <c r="BD53" s="20">
        <v>3.2000000000000001E-2</v>
      </c>
      <c r="BE53" s="20">
        <f>(BA53-BC53)</f>
        <v>-5.400000000000027E-2</v>
      </c>
      <c r="BF53" s="20">
        <f>SQRT((BB53)^2 + (BD53)^2)</f>
        <v>7.5153176912223743E-2</v>
      </c>
      <c r="BG53" s="20">
        <f>BF53^2</f>
        <v>5.6480000000000002E-3</v>
      </c>
      <c r="BH53" s="8">
        <v>-0.51</v>
      </c>
      <c r="BI53" s="20">
        <f>(BE53-BH53)^2</f>
        <v>0.20793599999999976</v>
      </c>
      <c r="BJ53" s="11"/>
    </row>
    <row r="54" spans="10:62">
      <c r="O54" s="11"/>
      <c r="P54" s="11"/>
      <c r="Q54" s="11"/>
      <c r="R54" s="11"/>
      <c r="S54" s="11"/>
      <c r="T54" s="11"/>
      <c r="U54" s="20"/>
      <c r="V54" s="20"/>
      <c r="W54" s="20"/>
      <c r="X54" s="11"/>
      <c r="AA54" s="26" t="s">
        <v>82</v>
      </c>
      <c r="AB54" s="26" t="s">
        <v>46</v>
      </c>
      <c r="AC54" s="3" t="s">
        <v>172</v>
      </c>
      <c r="AD54" s="3" t="s">
        <v>182</v>
      </c>
      <c r="AE54" s="1" t="s">
        <v>93</v>
      </c>
      <c r="AF54" s="20">
        <v>11.613</v>
      </c>
      <c r="AG54" s="20">
        <v>0.127</v>
      </c>
      <c r="AH54" s="20">
        <v>10.423</v>
      </c>
      <c r="AI54" s="20">
        <v>0.13500000000000001</v>
      </c>
      <c r="AJ54" s="20">
        <f t="shared" si="12"/>
        <v>1.1899999999999995</v>
      </c>
      <c r="AK54" s="20">
        <f t="shared" si="13"/>
        <v>0.18534832073693033</v>
      </c>
      <c r="AL54" s="20">
        <f t="shared" si="14"/>
        <v>3.4353999999999996E-2</v>
      </c>
      <c r="AM54" s="8">
        <v>-0.43</v>
      </c>
      <c r="AN54" s="20">
        <f t="shared" si="15"/>
        <v>2.6243999999999983</v>
      </c>
      <c r="AO54" s="11"/>
      <c r="AP54" s="11"/>
      <c r="AV54" s="1" t="s">
        <v>101</v>
      </c>
      <c r="AW54" s="1" t="s">
        <v>70</v>
      </c>
      <c r="AX54" s="4" t="s">
        <v>163</v>
      </c>
      <c r="AY54" s="3" t="s">
        <v>191</v>
      </c>
      <c r="AZ54" s="1" t="s">
        <v>196</v>
      </c>
      <c r="BA54" s="20">
        <v>-8.8810000000000002</v>
      </c>
      <c r="BB54" s="20">
        <v>4.2999999999999997E-2</v>
      </c>
      <c r="BC54" s="20">
        <v>-8.9640000000000004</v>
      </c>
      <c r="BD54" s="20">
        <v>4.2999999999999997E-2</v>
      </c>
      <c r="BE54" s="20">
        <f>(BA54-BC54)</f>
        <v>8.3000000000000185E-2</v>
      </c>
      <c r="BF54" s="20">
        <f>SQRT((BB54)^2 + (BD54)^2)</f>
        <v>6.081118318204308E-2</v>
      </c>
      <c r="BG54" s="20">
        <f>BF54^2</f>
        <v>3.697999999999999E-3</v>
      </c>
      <c r="BH54" s="8">
        <v>1.1299999999999999</v>
      </c>
      <c r="BI54" s="20">
        <f>(BE54-BH54)^2</f>
        <v>1.0962089999999993</v>
      </c>
      <c r="BJ54" s="11"/>
    </row>
    <row r="55" spans="10:62">
      <c r="O55" s="11"/>
      <c r="P55" s="11"/>
      <c r="Q55" s="11"/>
      <c r="R55" s="11"/>
      <c r="S55" s="11"/>
      <c r="T55" s="11"/>
      <c r="U55" s="20"/>
      <c r="V55" s="19" t="s">
        <v>68</v>
      </c>
      <c r="W55" s="20">
        <f>SQRT(W53/16)</f>
        <v>1.1954720563442702</v>
      </c>
      <c r="X55" s="11"/>
      <c r="AA55" s="1" t="s">
        <v>206</v>
      </c>
      <c r="AB55" s="26" t="s">
        <v>46</v>
      </c>
      <c r="AC55" s="6" t="s">
        <v>173</v>
      </c>
      <c r="AD55" s="3" t="s">
        <v>183</v>
      </c>
      <c r="AE55" s="1" t="s">
        <v>94</v>
      </c>
      <c r="AF55" s="20">
        <v>13.137</v>
      </c>
      <c r="AG55" s="20">
        <v>0.16800000000000001</v>
      </c>
      <c r="AH55" s="20">
        <v>12.03</v>
      </c>
      <c r="AI55" s="20">
        <v>0.122</v>
      </c>
      <c r="AJ55" s="20">
        <f t="shared" si="12"/>
        <v>1.1070000000000011</v>
      </c>
      <c r="AK55" s="20">
        <f t="shared" si="13"/>
        <v>0.20762466134830901</v>
      </c>
      <c r="AL55" s="20">
        <f t="shared" si="14"/>
        <v>4.3108E-2</v>
      </c>
      <c r="AM55" s="8">
        <v>-0.27</v>
      </c>
      <c r="AN55" s="20">
        <f t="shared" si="15"/>
        <v>1.8961290000000031</v>
      </c>
      <c r="AO55" s="11"/>
      <c r="AP55" s="11"/>
      <c r="AV55" s="1" t="s">
        <v>101</v>
      </c>
      <c r="AW55" s="1" t="s">
        <v>70</v>
      </c>
      <c r="AX55" s="4" t="s">
        <v>164</v>
      </c>
      <c r="AY55" s="3" t="s">
        <v>192</v>
      </c>
      <c r="AZ55" s="1" t="s">
        <v>77</v>
      </c>
      <c r="BA55" s="20">
        <v>12.08</v>
      </c>
      <c r="BB55" s="20">
        <v>0.26</v>
      </c>
      <c r="BC55" s="20">
        <v>11.585000000000001</v>
      </c>
      <c r="BD55" s="20">
        <v>0.122</v>
      </c>
      <c r="BE55" s="20">
        <f>(BA55-BC55)</f>
        <v>0.49499999999999922</v>
      </c>
      <c r="BF55" s="20">
        <f>SQRT((BB55)^2 + (BD55)^2)</f>
        <v>0.28720027855139696</v>
      </c>
      <c r="BG55" s="20">
        <f>BF55^2</f>
        <v>8.2484000000000002E-2</v>
      </c>
      <c r="BH55" s="8">
        <v>0.47</v>
      </c>
      <c r="BI55" s="20">
        <f>(BE55-BH55)^2</f>
        <v>6.2499999999996228E-4</v>
      </c>
      <c r="BJ55" s="11"/>
    </row>
    <row r="56" spans="10:62">
      <c r="O56" s="11"/>
      <c r="P56" s="11"/>
      <c r="Q56" s="11"/>
      <c r="R56" s="11"/>
      <c r="S56" s="11"/>
      <c r="T56" s="11"/>
      <c r="U56" s="20"/>
      <c r="V56" s="19" t="s">
        <v>40</v>
      </c>
      <c r="W56" s="20">
        <f>SQRT(U53/16)</f>
        <v>0.28125777767023613</v>
      </c>
      <c r="X56" s="11"/>
      <c r="AA56" s="1" t="s">
        <v>206</v>
      </c>
      <c r="AB56" s="26" t="s">
        <v>46</v>
      </c>
      <c r="AC56" s="6" t="s">
        <v>174</v>
      </c>
      <c r="AD56" s="3" t="s">
        <v>184</v>
      </c>
      <c r="AE56" s="1" t="s">
        <v>188</v>
      </c>
      <c r="AF56" s="20">
        <v>10.42</v>
      </c>
      <c r="AG56" s="20">
        <v>0.05</v>
      </c>
      <c r="AH56" s="20">
        <v>11.746</v>
      </c>
      <c r="AI56" s="20">
        <v>0.17100000000000001</v>
      </c>
      <c r="AJ56" s="20">
        <f t="shared" si="12"/>
        <v>-1.3260000000000005</v>
      </c>
      <c r="AK56" s="20">
        <f t="shared" si="13"/>
        <v>0.17816004041310723</v>
      </c>
      <c r="AL56" s="20">
        <f t="shared" si="14"/>
        <v>3.1741000000000005E-2</v>
      </c>
      <c r="AM56" s="8">
        <v>-0.63</v>
      </c>
      <c r="AN56" s="20">
        <f t="shared" si="15"/>
        <v>0.48441600000000068</v>
      </c>
      <c r="AO56" s="11"/>
      <c r="AP56" s="11"/>
      <c r="AV56" s="1" t="s">
        <v>101</v>
      </c>
      <c r="AW56" s="1" t="s">
        <v>70</v>
      </c>
      <c r="AX56" s="4" t="s">
        <v>165</v>
      </c>
      <c r="AY56" s="3" t="s">
        <v>193</v>
      </c>
      <c r="AZ56" s="1" t="s">
        <v>197</v>
      </c>
      <c r="BA56" s="20">
        <v>7.5359999999999996</v>
      </c>
      <c r="BB56" s="20">
        <v>0.108</v>
      </c>
      <c r="BC56" s="20">
        <v>6.2859999999999996</v>
      </c>
      <c r="BD56" s="20">
        <v>9.0999999999999998E-2</v>
      </c>
      <c r="BE56" s="20">
        <f>(BA56-BC56)</f>
        <v>1.25</v>
      </c>
      <c r="BF56" s="20">
        <f>SQRT((BB56)^2 + (BD56)^2)</f>
        <v>0.1412267680009707</v>
      </c>
      <c r="BG56" s="20">
        <f>BF56^2</f>
        <v>1.9945000000000001E-2</v>
      </c>
      <c r="BH56" s="8">
        <v>0.97</v>
      </c>
      <c r="BI56" s="20">
        <f>(BE56-BH56)^2</f>
        <v>7.8400000000000011E-2</v>
      </c>
      <c r="BJ56" s="11"/>
    </row>
    <row r="57" spans="10:62">
      <c r="O57" s="11"/>
      <c r="P57" s="11"/>
      <c r="Q57" s="11"/>
      <c r="R57" s="11"/>
      <c r="S57" s="11"/>
      <c r="T57" s="11"/>
      <c r="U57" s="11"/>
      <c r="V57" s="11"/>
      <c r="W57" s="11"/>
      <c r="X57" s="11"/>
      <c r="AA57" s="1" t="s">
        <v>206</v>
      </c>
      <c r="AB57" s="26" t="s">
        <v>46</v>
      </c>
      <c r="AC57" s="6" t="s">
        <v>175</v>
      </c>
      <c r="AD57" s="3" t="s">
        <v>185</v>
      </c>
      <c r="AE57" s="1" t="s">
        <v>189</v>
      </c>
      <c r="AF57" s="20">
        <v>14.385</v>
      </c>
      <c r="AG57" s="20">
        <v>5.5E-2</v>
      </c>
      <c r="AH57" s="20">
        <v>14.122999999999999</v>
      </c>
      <c r="AI57" s="20">
        <v>0.159</v>
      </c>
      <c r="AJ57" s="20">
        <f t="shared" si="12"/>
        <v>0.26200000000000045</v>
      </c>
      <c r="AK57" s="20">
        <f t="shared" si="13"/>
        <v>0.16824387061643584</v>
      </c>
      <c r="AL57" s="20">
        <f t="shared" si="14"/>
        <v>2.8306000000000001E-2</v>
      </c>
      <c r="AM57" s="8">
        <v>0.19</v>
      </c>
      <c r="AN57" s="20">
        <f t="shared" si="15"/>
        <v>5.1840000000000653E-3</v>
      </c>
      <c r="AO57" s="11"/>
      <c r="AP57" s="11"/>
      <c r="AV57" s="1" t="s">
        <v>101</v>
      </c>
      <c r="AW57" s="1" t="s">
        <v>70</v>
      </c>
      <c r="AX57" s="4" t="s">
        <v>12</v>
      </c>
      <c r="AY57" s="3" t="s">
        <v>194</v>
      </c>
      <c r="AZ57" s="1" t="s">
        <v>198</v>
      </c>
      <c r="BA57" s="20">
        <v>-24.760999999999999</v>
      </c>
      <c r="BB57" s="20">
        <v>0.14499999999999999</v>
      </c>
      <c r="BC57" s="20">
        <v>-24.088000000000001</v>
      </c>
      <c r="BD57" s="20">
        <v>9.1999999999999998E-2</v>
      </c>
      <c r="BE57" s="20">
        <f>(BA57-BC57)</f>
        <v>-0.67299999999999827</v>
      </c>
      <c r="BF57" s="20">
        <f>SQRT((BB57)^2 + (BD57)^2)</f>
        <v>0.17172361514946044</v>
      </c>
      <c r="BG57" s="20">
        <f>BF57^2</f>
        <v>2.9488999999999998E-2</v>
      </c>
      <c r="BH57" s="8">
        <v>0.02</v>
      </c>
      <c r="BI57" s="20">
        <f>(BE57-BH57)^2</f>
        <v>0.48024899999999759</v>
      </c>
      <c r="BJ57" s="11"/>
    </row>
    <row r="58" spans="10:62">
      <c r="O58" s="11"/>
      <c r="P58" s="11"/>
      <c r="Q58" s="11"/>
      <c r="R58" s="11"/>
      <c r="S58" s="11"/>
      <c r="T58" s="11"/>
      <c r="U58" s="11"/>
      <c r="V58" s="11"/>
      <c r="W58" s="11"/>
      <c r="X58" s="11"/>
      <c r="AA58" s="15" t="s">
        <v>82</v>
      </c>
      <c r="AB58" s="1" t="s">
        <v>70</v>
      </c>
      <c r="AC58" s="3" t="s">
        <v>14</v>
      </c>
      <c r="AD58" s="3" t="s">
        <v>190</v>
      </c>
      <c r="AE58" s="1" t="s">
        <v>195</v>
      </c>
      <c r="AF58" s="20">
        <v>-5.1050000000000004</v>
      </c>
      <c r="AG58" s="20">
        <v>8.5999999999999993E-2</v>
      </c>
      <c r="AH58" s="20">
        <v>-5.056</v>
      </c>
      <c r="AI58" s="20">
        <v>5.0999999999999997E-2</v>
      </c>
      <c r="AJ58" s="20">
        <f>(AF58-AH58)</f>
        <v>-4.9000000000000377E-2</v>
      </c>
      <c r="AK58" s="20">
        <f>SQRT((AG58)^2 + (AI58)^2)</f>
        <v>9.9984998874831213E-2</v>
      </c>
      <c r="AL58" s="20">
        <f>AK58^2</f>
        <v>9.9969999999999989E-3</v>
      </c>
      <c r="AM58" s="8">
        <v>-0.51</v>
      </c>
      <c r="AN58" s="20">
        <f>(AJ58-AM58)^2</f>
        <v>0.21252099999999965</v>
      </c>
      <c r="AO58" s="11"/>
      <c r="AP58" s="11"/>
      <c r="BA58" s="11"/>
      <c r="BB58" s="11"/>
      <c r="BC58" s="11"/>
      <c r="BD58" s="11"/>
      <c r="BE58" s="11"/>
      <c r="BF58" s="11"/>
      <c r="BG58" s="18" t="s">
        <v>67</v>
      </c>
      <c r="BH58" s="18"/>
      <c r="BI58" s="18" t="s">
        <v>67</v>
      </c>
      <c r="BJ58" s="11"/>
    </row>
    <row r="59" spans="10:62">
      <c r="O59" s="11"/>
      <c r="P59" s="11"/>
      <c r="Q59" s="11"/>
      <c r="R59" s="11"/>
      <c r="S59" s="11"/>
      <c r="T59" s="11"/>
      <c r="U59" s="11"/>
      <c r="V59" s="11"/>
      <c r="W59" s="11"/>
      <c r="X59" s="11"/>
      <c r="AA59" s="1" t="s">
        <v>101</v>
      </c>
      <c r="AB59" s="1" t="s">
        <v>70</v>
      </c>
      <c r="AC59" s="6" t="s">
        <v>163</v>
      </c>
      <c r="AD59" s="3" t="s">
        <v>191</v>
      </c>
      <c r="AE59" s="1" t="s">
        <v>196</v>
      </c>
      <c r="AF59" s="20">
        <v>-8.8810000000000002</v>
      </c>
      <c r="AG59" s="20">
        <v>4.2999999999999997E-2</v>
      </c>
      <c r="AH59" s="20">
        <v>-8.9640000000000004</v>
      </c>
      <c r="AI59" s="20">
        <v>4.2999999999999997E-2</v>
      </c>
      <c r="AJ59" s="20">
        <f>(AF59-AH59)</f>
        <v>8.3000000000000185E-2</v>
      </c>
      <c r="AK59" s="20">
        <f>SQRT((AG59)^2 + (AI59)^2)</f>
        <v>6.081118318204308E-2</v>
      </c>
      <c r="AL59" s="20">
        <f>AK59^2</f>
        <v>3.697999999999999E-3</v>
      </c>
      <c r="AM59" s="8">
        <v>1.1299999999999999</v>
      </c>
      <c r="AN59" s="20">
        <f>(AJ59-AM59)^2</f>
        <v>1.0962089999999993</v>
      </c>
      <c r="AO59" s="11"/>
      <c r="AP59" s="11"/>
      <c r="BA59" s="11"/>
      <c r="BB59" s="11"/>
      <c r="BC59" s="11"/>
      <c r="BD59" s="11"/>
      <c r="BE59" s="11"/>
      <c r="BF59" s="11"/>
      <c r="BG59" s="20">
        <f>SUM(BG39:BG57)</f>
        <v>1.2641180000000001</v>
      </c>
      <c r="BH59" s="20"/>
      <c r="BI59" s="20">
        <f>SUM(BI39:BI57)</f>
        <v>24.21407499999999</v>
      </c>
      <c r="BJ59" s="11"/>
    </row>
    <row r="60" spans="10:62" ht="17">
      <c r="J60" s="10" t="s">
        <v>80</v>
      </c>
      <c r="O60" s="11"/>
      <c r="P60" s="11"/>
      <c r="Q60" s="11"/>
      <c r="R60" s="11"/>
      <c r="S60" s="11"/>
      <c r="T60" s="11"/>
      <c r="U60" s="11"/>
      <c r="V60" s="11"/>
      <c r="W60" s="11"/>
      <c r="X60" s="11"/>
      <c r="AA60" s="1" t="s">
        <v>101</v>
      </c>
      <c r="AB60" s="1" t="s">
        <v>70</v>
      </c>
      <c r="AC60" s="6" t="s">
        <v>164</v>
      </c>
      <c r="AD60" s="3" t="s">
        <v>192</v>
      </c>
      <c r="AE60" s="1" t="s">
        <v>77</v>
      </c>
      <c r="AF60" s="20">
        <v>12.08</v>
      </c>
      <c r="AG60" s="20">
        <v>0.26</v>
      </c>
      <c r="AH60" s="20">
        <v>11.585000000000001</v>
      </c>
      <c r="AI60" s="20">
        <v>0.122</v>
      </c>
      <c r="AJ60" s="20">
        <f>(AF60-AH60)</f>
        <v>0.49499999999999922</v>
      </c>
      <c r="AK60" s="20">
        <f>SQRT((AG60)^2 + (AI60)^2)</f>
        <v>0.28720027855139696</v>
      </c>
      <c r="AL60" s="20">
        <f>AK60^2</f>
        <v>8.2484000000000002E-2</v>
      </c>
      <c r="AM60" s="8">
        <v>0.47</v>
      </c>
      <c r="AN60" s="20">
        <f>(AJ60-AM60)^2</f>
        <v>6.2499999999996228E-4</v>
      </c>
      <c r="AO60" s="11"/>
      <c r="AP60" s="11"/>
      <c r="BA60" s="11"/>
      <c r="BB60" s="11"/>
      <c r="BC60" s="11"/>
      <c r="BD60" s="11"/>
      <c r="BE60" s="11"/>
      <c r="BF60" s="11"/>
      <c r="BG60" s="20"/>
      <c r="BH60" s="1"/>
      <c r="BI60" s="20"/>
      <c r="BJ60" s="11"/>
    </row>
    <row r="61" spans="10:62">
      <c r="J61" s="12" t="s">
        <v>30</v>
      </c>
      <c r="K61" s="12" t="s">
        <v>31</v>
      </c>
      <c r="L61" s="13" t="s">
        <v>32</v>
      </c>
      <c r="M61" s="12" t="s">
        <v>33</v>
      </c>
      <c r="N61" s="12" t="s">
        <v>34</v>
      </c>
      <c r="O61" s="12" t="s">
        <v>35</v>
      </c>
      <c r="P61" s="12" t="s">
        <v>36</v>
      </c>
      <c r="Q61" s="12" t="s">
        <v>37</v>
      </c>
      <c r="R61" s="12" t="s">
        <v>38</v>
      </c>
      <c r="S61" s="12" t="s">
        <v>39</v>
      </c>
      <c r="T61" s="14" t="s">
        <v>40</v>
      </c>
      <c r="U61" s="12" t="s">
        <v>41</v>
      </c>
      <c r="V61" s="12" t="s">
        <v>42</v>
      </c>
      <c r="W61" s="12" t="s">
        <v>43</v>
      </c>
      <c r="X61" s="11"/>
      <c r="AA61" s="1" t="s">
        <v>101</v>
      </c>
      <c r="AB61" s="1" t="s">
        <v>70</v>
      </c>
      <c r="AC61" s="6" t="s">
        <v>165</v>
      </c>
      <c r="AD61" s="3" t="s">
        <v>193</v>
      </c>
      <c r="AE61" s="1" t="s">
        <v>197</v>
      </c>
      <c r="AF61" s="20">
        <v>7.5359999999999996</v>
      </c>
      <c r="AG61" s="20">
        <v>0.108</v>
      </c>
      <c r="AH61" s="20">
        <v>6.2859999999999996</v>
      </c>
      <c r="AI61" s="20">
        <v>9.0999999999999998E-2</v>
      </c>
      <c r="AJ61" s="20">
        <f>(AF61-AH61)</f>
        <v>1.25</v>
      </c>
      <c r="AK61" s="20">
        <f>SQRT((AG61)^2 + (AI61)^2)</f>
        <v>0.1412267680009707</v>
      </c>
      <c r="AL61" s="20">
        <f>AK61^2</f>
        <v>1.9945000000000001E-2</v>
      </c>
      <c r="AM61" s="8">
        <v>0.97</v>
      </c>
      <c r="AN61" s="20">
        <f>(AJ61-AM61)^2</f>
        <v>7.8400000000000011E-2</v>
      </c>
      <c r="AO61" s="11"/>
      <c r="AP61" s="11"/>
      <c r="BA61" s="11"/>
      <c r="BB61" s="11"/>
      <c r="BC61" s="11"/>
      <c r="BD61" s="11"/>
      <c r="BE61" s="11"/>
      <c r="BF61" s="11"/>
      <c r="BG61" s="20"/>
      <c r="BH61" s="19" t="s">
        <v>68</v>
      </c>
      <c r="BI61" s="20">
        <f>SQRT(BI59/19)</f>
        <v>1.1289043360710418</v>
      </c>
      <c r="BJ61" s="11"/>
    </row>
    <row r="62" spans="10:62">
      <c r="J62" s="26" t="s">
        <v>45</v>
      </c>
      <c r="K62" s="26" t="s">
        <v>46</v>
      </c>
      <c r="L62" s="3" t="s">
        <v>166</v>
      </c>
      <c r="M62" s="3" t="s">
        <v>177</v>
      </c>
      <c r="N62" s="1" t="s">
        <v>58</v>
      </c>
      <c r="O62" s="20">
        <v>-3.988</v>
      </c>
      <c r="P62" s="20">
        <v>0.158</v>
      </c>
      <c r="Q62" s="20">
        <v>-3.8170000000000002</v>
      </c>
      <c r="R62" s="20">
        <v>4.9000000000000002E-2</v>
      </c>
      <c r="S62" s="20">
        <f t="shared" ref="S62:S68" si="16">O62-Q62</f>
        <v>-0.17099999999999982</v>
      </c>
      <c r="T62" s="20">
        <f t="shared" ref="T62:T68" si="17">SQRT((P62)^2 + (R62)^2)</f>
        <v>0.16542369842317031</v>
      </c>
      <c r="U62" s="20">
        <f t="shared" ref="U62:U68" si="18">T62^2</f>
        <v>2.7365E-2</v>
      </c>
      <c r="V62" s="8">
        <v>-0.82</v>
      </c>
      <c r="W62" s="20">
        <f t="shared" ref="W62:W68" si="19">(S62-V62)^2</f>
        <v>0.42120100000000016</v>
      </c>
      <c r="X62" s="11"/>
      <c r="AA62" s="1" t="s">
        <v>101</v>
      </c>
      <c r="AB62" s="1" t="s">
        <v>70</v>
      </c>
      <c r="AC62" s="6" t="s">
        <v>12</v>
      </c>
      <c r="AD62" s="3" t="s">
        <v>194</v>
      </c>
      <c r="AE62" s="1" t="s">
        <v>198</v>
      </c>
      <c r="AF62" s="20">
        <v>-24.760999999999999</v>
      </c>
      <c r="AG62" s="20">
        <v>0.14499999999999999</v>
      </c>
      <c r="AH62" s="20">
        <v>-24.088000000000001</v>
      </c>
      <c r="AI62" s="20">
        <v>9.1999999999999998E-2</v>
      </c>
      <c r="AJ62" s="20">
        <f>(AF62-AH62)</f>
        <v>-0.67299999999999827</v>
      </c>
      <c r="AK62" s="20">
        <f>SQRT((AG62)^2 + (AI62)^2)</f>
        <v>0.17172361514946044</v>
      </c>
      <c r="AL62" s="20">
        <f>AK62^2</f>
        <v>2.9488999999999998E-2</v>
      </c>
      <c r="AM62" s="8">
        <v>0.02</v>
      </c>
      <c r="AN62" s="20">
        <f>(AJ62-AM62)^2</f>
        <v>0.48024899999999759</v>
      </c>
      <c r="AO62" s="11"/>
      <c r="AP62" s="11"/>
      <c r="BA62" s="11"/>
      <c r="BB62" s="11"/>
      <c r="BC62" s="11"/>
      <c r="BD62" s="11"/>
      <c r="BE62" s="11"/>
      <c r="BF62" s="11"/>
      <c r="BG62" s="20"/>
      <c r="BH62" s="19" t="s">
        <v>40</v>
      </c>
      <c r="BI62" s="20">
        <f>SQRT(BG59/19)</f>
        <v>0.25793899727607972</v>
      </c>
      <c r="BJ62" s="11"/>
    </row>
    <row r="63" spans="10:62">
      <c r="J63" s="26" t="s">
        <v>45</v>
      </c>
      <c r="K63" s="26" t="s">
        <v>46</v>
      </c>
      <c r="L63" s="3" t="s">
        <v>167</v>
      </c>
      <c r="M63" s="3" t="s">
        <v>178</v>
      </c>
      <c r="N63" s="1" t="s">
        <v>59</v>
      </c>
      <c r="O63" s="20">
        <v>12.398999999999999</v>
      </c>
      <c r="P63" s="20">
        <v>0.32400000000000001</v>
      </c>
      <c r="Q63" s="20">
        <v>12.984</v>
      </c>
      <c r="R63" s="20">
        <v>3.7999999999999999E-2</v>
      </c>
      <c r="S63" s="20">
        <f t="shared" si="16"/>
        <v>-0.58500000000000085</v>
      </c>
      <c r="T63" s="20">
        <f t="shared" si="17"/>
        <v>0.32622078413246453</v>
      </c>
      <c r="U63" s="20">
        <f t="shared" si="18"/>
        <v>0.10642000000000001</v>
      </c>
      <c r="V63" s="8">
        <v>-0.85</v>
      </c>
      <c r="W63" s="20">
        <f t="shared" si="19"/>
        <v>7.0224999999999538E-2</v>
      </c>
      <c r="X63" s="11"/>
      <c r="AF63" s="11"/>
      <c r="AG63" s="11"/>
      <c r="AH63" s="11"/>
      <c r="AI63" s="11"/>
      <c r="AJ63" s="11"/>
      <c r="AK63" s="11"/>
      <c r="AL63" s="18" t="s">
        <v>67</v>
      </c>
      <c r="AM63" s="18"/>
      <c r="AN63" s="18" t="s">
        <v>67</v>
      </c>
      <c r="AO63" s="11"/>
      <c r="AP63" s="11"/>
      <c r="BA63" s="11"/>
      <c r="BB63" s="11"/>
      <c r="BC63" s="11"/>
      <c r="BD63" s="11"/>
      <c r="BE63" s="11"/>
      <c r="BF63" s="11"/>
      <c r="BG63" s="11"/>
      <c r="BH63" s="11"/>
      <c r="BI63" s="11"/>
      <c r="BJ63" s="11"/>
    </row>
    <row r="64" spans="10:62">
      <c r="J64" s="26" t="s">
        <v>45</v>
      </c>
      <c r="K64" s="26" t="s">
        <v>46</v>
      </c>
      <c r="L64" s="3" t="s">
        <v>13</v>
      </c>
      <c r="M64" s="3" t="s">
        <v>179</v>
      </c>
      <c r="N64" s="1" t="s">
        <v>187</v>
      </c>
      <c r="O64" s="20">
        <v>16.52</v>
      </c>
      <c r="P64" s="20">
        <v>0.1</v>
      </c>
      <c r="Q64" s="20">
        <v>13.997999999999999</v>
      </c>
      <c r="R64" s="20">
        <v>5.5E-2</v>
      </c>
      <c r="S64" s="20">
        <f t="shared" si="16"/>
        <v>2.5220000000000002</v>
      </c>
      <c r="T64" s="20">
        <f t="shared" si="17"/>
        <v>0.11412712210513329</v>
      </c>
      <c r="U64" s="20">
        <f t="shared" si="18"/>
        <v>1.3025000000000004E-2</v>
      </c>
      <c r="V64" s="8">
        <v>0.46</v>
      </c>
      <c r="W64" s="20">
        <f t="shared" si="19"/>
        <v>4.2518440000000011</v>
      </c>
      <c r="X64" s="11"/>
      <c r="AF64" s="11"/>
      <c r="AG64" s="11"/>
      <c r="AH64" s="11"/>
      <c r="AI64" s="11"/>
      <c r="AJ64" s="11"/>
      <c r="AK64" s="11"/>
      <c r="AL64" s="20">
        <f>SUM(AL44:AL62)</f>
        <v>1.5213080000000001</v>
      </c>
      <c r="AM64" s="20"/>
      <c r="AN64" s="20">
        <f>SUM(AN44:AN62)</f>
        <v>17.435211999999989</v>
      </c>
      <c r="AO64" s="11"/>
      <c r="AP64" s="11"/>
      <c r="BA64" s="11"/>
      <c r="BB64" s="11"/>
      <c r="BC64" s="11"/>
      <c r="BD64" s="11"/>
      <c r="BE64" s="11"/>
      <c r="BF64" s="11"/>
      <c r="BG64" s="11"/>
      <c r="BH64" s="11"/>
      <c r="BI64" s="11"/>
      <c r="BJ64" s="11"/>
    </row>
    <row r="65" spans="10:62" ht="17">
      <c r="J65" s="26" t="s">
        <v>45</v>
      </c>
      <c r="K65" s="26" t="s">
        <v>46</v>
      </c>
      <c r="L65" s="3" t="s">
        <v>168</v>
      </c>
      <c r="M65" s="3" t="s">
        <v>180</v>
      </c>
      <c r="N65" s="1" t="s">
        <v>61</v>
      </c>
      <c r="O65" s="20">
        <v>-4.077</v>
      </c>
      <c r="P65" s="20">
        <v>0.14000000000000001</v>
      </c>
      <c r="Q65" s="20">
        <v>-5.0170000000000003</v>
      </c>
      <c r="R65" s="20">
        <v>3.5000000000000003E-2</v>
      </c>
      <c r="S65" s="20">
        <f t="shared" si="16"/>
        <v>0.94000000000000039</v>
      </c>
      <c r="T65" s="20">
        <f t="shared" si="17"/>
        <v>0.14430869689661813</v>
      </c>
      <c r="U65" s="20">
        <f t="shared" si="18"/>
        <v>2.0825000000000003E-2</v>
      </c>
      <c r="V65" s="8">
        <v>0.99</v>
      </c>
      <c r="W65" s="20">
        <f t="shared" si="19"/>
        <v>2.4999999999999602E-3</v>
      </c>
      <c r="X65" s="11"/>
      <c r="AF65" s="11"/>
      <c r="AG65" s="11"/>
      <c r="AH65" s="11"/>
      <c r="AI65" s="11"/>
      <c r="AJ65" s="11"/>
      <c r="AK65" s="11"/>
      <c r="AL65" s="20"/>
      <c r="AM65" s="20"/>
      <c r="AN65" s="20"/>
      <c r="AO65" s="11"/>
      <c r="AP65" s="11"/>
      <c r="AV65" s="10" t="s">
        <v>114</v>
      </c>
      <c r="AW65" s="11"/>
      <c r="AX65" s="11"/>
      <c r="AY65" s="11"/>
      <c r="AZ65" s="11"/>
      <c r="BA65" s="11"/>
      <c r="BB65" s="11"/>
      <c r="BC65" s="11"/>
      <c r="BD65" s="11"/>
      <c r="BE65" s="11"/>
      <c r="BF65" s="11"/>
      <c r="BG65" s="11"/>
      <c r="BH65" s="11"/>
      <c r="BI65" s="11"/>
      <c r="BJ65" s="11"/>
    </row>
    <row r="66" spans="10:62">
      <c r="J66" s="26" t="s">
        <v>45</v>
      </c>
      <c r="K66" s="26" t="s">
        <v>46</v>
      </c>
      <c r="L66" s="3" t="s">
        <v>169</v>
      </c>
      <c r="M66" s="3" t="s">
        <v>181</v>
      </c>
      <c r="N66" s="1" t="s">
        <v>91</v>
      </c>
      <c r="O66" s="20">
        <v>71.561999999999998</v>
      </c>
      <c r="P66" s="20">
        <v>0.39300000000000002</v>
      </c>
      <c r="Q66" s="20">
        <v>69.635999999999996</v>
      </c>
      <c r="R66" s="20">
        <v>7.1999999999999995E-2</v>
      </c>
      <c r="S66" s="20">
        <f t="shared" si="16"/>
        <v>1.9260000000000019</v>
      </c>
      <c r="T66" s="20">
        <f t="shared" si="17"/>
        <v>0.39954098663341159</v>
      </c>
      <c r="U66" s="20">
        <f t="shared" si="18"/>
        <v>0.15963299999999997</v>
      </c>
      <c r="V66" s="8">
        <v>1.53</v>
      </c>
      <c r="W66" s="20">
        <f t="shared" si="19"/>
        <v>0.15681600000000151</v>
      </c>
      <c r="X66" s="11"/>
      <c r="AF66" s="11"/>
      <c r="AG66" s="11"/>
      <c r="AH66" s="11"/>
      <c r="AI66" s="11"/>
      <c r="AJ66" s="11"/>
      <c r="AK66" s="11"/>
      <c r="AL66" s="20"/>
      <c r="AM66" s="19" t="s">
        <v>68</v>
      </c>
      <c r="AN66" s="20">
        <f>SQRT(AN64/19)</f>
        <v>0.95793670816088095</v>
      </c>
      <c r="AO66" s="11"/>
      <c r="AP66" s="11"/>
      <c r="AV66" s="12" t="s">
        <v>30</v>
      </c>
      <c r="AW66" s="12" t="s">
        <v>31</v>
      </c>
      <c r="AX66" s="13" t="s">
        <v>32</v>
      </c>
      <c r="AY66" s="12" t="s">
        <v>33</v>
      </c>
      <c r="AZ66" s="12" t="s">
        <v>34</v>
      </c>
      <c r="BA66" s="12" t="s">
        <v>35</v>
      </c>
      <c r="BB66" s="12" t="s">
        <v>36</v>
      </c>
      <c r="BC66" s="12" t="s">
        <v>37</v>
      </c>
      <c r="BD66" s="12" t="s">
        <v>38</v>
      </c>
      <c r="BE66" s="12" t="s">
        <v>39</v>
      </c>
      <c r="BF66" s="14" t="s">
        <v>40</v>
      </c>
      <c r="BG66" s="12" t="s">
        <v>41</v>
      </c>
      <c r="BH66" s="12" t="s">
        <v>42</v>
      </c>
      <c r="BI66" s="12" t="s">
        <v>43</v>
      </c>
      <c r="BJ66" s="11"/>
    </row>
    <row r="67" spans="10:62">
      <c r="J67" s="26" t="s">
        <v>45</v>
      </c>
      <c r="K67" s="26" t="s">
        <v>46</v>
      </c>
      <c r="L67" s="3" t="s">
        <v>171</v>
      </c>
      <c r="M67" s="3" t="s">
        <v>86</v>
      </c>
      <c r="N67" s="1" t="s">
        <v>92</v>
      </c>
      <c r="O67" s="20">
        <v>-8.3179999999999996</v>
      </c>
      <c r="P67" s="20">
        <v>0.30099999999999999</v>
      </c>
      <c r="Q67" s="20">
        <v>-8.6479999999999997</v>
      </c>
      <c r="R67" s="20">
        <v>0.224</v>
      </c>
      <c r="S67" s="20">
        <f t="shared" si="16"/>
        <v>0.33000000000000007</v>
      </c>
      <c r="T67" s="20">
        <f t="shared" si="17"/>
        <v>0.37520261193120708</v>
      </c>
      <c r="U67" s="20">
        <f t="shared" si="18"/>
        <v>0.14077699999999999</v>
      </c>
      <c r="V67" s="8">
        <v>0.47</v>
      </c>
      <c r="W67" s="20">
        <f t="shared" si="19"/>
        <v>1.9599999999999972E-2</v>
      </c>
      <c r="X67" s="11"/>
      <c r="AF67" s="11"/>
      <c r="AG67" s="11"/>
      <c r="AH67" s="11"/>
      <c r="AI67" s="11"/>
      <c r="AJ67" s="11"/>
      <c r="AK67" s="11"/>
      <c r="AL67" s="20"/>
      <c r="AM67" s="19" t="s">
        <v>40</v>
      </c>
      <c r="AN67" s="20">
        <f>SQRT(AL64/19)</f>
        <v>0.28296438310370997</v>
      </c>
      <c r="AO67" s="11"/>
      <c r="AP67" s="11"/>
      <c r="AV67" s="1" t="s">
        <v>101</v>
      </c>
      <c r="AW67" s="26" t="s">
        <v>46</v>
      </c>
      <c r="AX67" s="3" t="s">
        <v>162</v>
      </c>
      <c r="AY67" s="3" t="s">
        <v>199</v>
      </c>
      <c r="AZ67" s="1" t="s">
        <v>202</v>
      </c>
      <c r="BA67" s="32">
        <v>5.2770000000000001</v>
      </c>
      <c r="BB67" s="32">
        <v>0.12</v>
      </c>
      <c r="BC67" s="32">
        <v>2.081</v>
      </c>
      <c r="BD67" s="32">
        <v>0.14099999999999999</v>
      </c>
      <c r="BE67" s="32">
        <v>3.1960000000000002</v>
      </c>
      <c r="BF67" s="32">
        <v>0.18515129</v>
      </c>
      <c r="BG67" s="32">
        <v>3.4280999999999999E-2</v>
      </c>
      <c r="BH67" s="33">
        <v>0.56999999999999995</v>
      </c>
      <c r="BI67" s="32">
        <v>6.8958760000000003</v>
      </c>
      <c r="BJ67" s="11"/>
    </row>
    <row r="68" spans="10:62">
      <c r="J68" s="26" t="s">
        <v>45</v>
      </c>
      <c r="K68" s="26" t="s">
        <v>46</v>
      </c>
      <c r="L68" s="3" t="s">
        <v>172</v>
      </c>
      <c r="M68" s="3" t="s">
        <v>182</v>
      </c>
      <c r="N68" s="1" t="s">
        <v>93</v>
      </c>
      <c r="O68" s="20">
        <v>10.29</v>
      </c>
      <c r="P68" s="20">
        <v>0.21099999999999999</v>
      </c>
      <c r="Q68" s="20">
        <v>10.589</v>
      </c>
      <c r="R68" s="20">
        <v>0.14000000000000001</v>
      </c>
      <c r="S68" s="20">
        <f t="shared" si="16"/>
        <v>-0.29900000000000126</v>
      </c>
      <c r="T68" s="20">
        <f t="shared" si="17"/>
        <v>0.25322124713380589</v>
      </c>
      <c r="U68" s="20">
        <f t="shared" si="18"/>
        <v>6.4120999999999997E-2</v>
      </c>
      <c r="V68" s="8">
        <v>-0.43</v>
      </c>
      <c r="W68" s="20">
        <f t="shared" si="19"/>
        <v>1.7160999999999666E-2</v>
      </c>
      <c r="AF68" s="11"/>
      <c r="AG68" s="11"/>
      <c r="AH68" s="11"/>
      <c r="AI68" s="11"/>
      <c r="AJ68" s="11"/>
      <c r="AK68" s="11"/>
      <c r="AL68" s="11"/>
      <c r="AM68" s="11"/>
      <c r="AN68" s="11"/>
      <c r="AO68" s="11"/>
      <c r="AP68" s="11"/>
      <c r="AV68" s="1" t="s">
        <v>101</v>
      </c>
      <c r="AW68" s="26" t="s">
        <v>46</v>
      </c>
      <c r="AX68" s="3" t="s">
        <v>166</v>
      </c>
      <c r="AY68" s="3" t="s">
        <v>125</v>
      </c>
      <c r="AZ68" s="1" t="s">
        <v>204</v>
      </c>
      <c r="BA68" s="32">
        <v>-4.3879999999999999</v>
      </c>
      <c r="BB68" s="32">
        <v>0.13300000000000001</v>
      </c>
      <c r="BC68" s="32">
        <v>-4.7889999999999997</v>
      </c>
      <c r="BD68" s="32">
        <v>0.11</v>
      </c>
      <c r="BE68" s="32">
        <v>0.40100000000000002</v>
      </c>
      <c r="BF68" s="32">
        <v>0.1725949</v>
      </c>
      <c r="BG68" s="32">
        <v>2.9789E-2</v>
      </c>
      <c r="BH68" s="33">
        <v>-0.82</v>
      </c>
      <c r="BI68" s="32">
        <v>1.4908410000000001</v>
      </c>
    </row>
    <row r="69" spans="10:62">
      <c r="J69" s="15" t="s">
        <v>45</v>
      </c>
      <c r="K69" s="1" t="s">
        <v>70</v>
      </c>
      <c r="L69" s="3" t="s">
        <v>14</v>
      </c>
      <c r="M69" s="3" t="s">
        <v>190</v>
      </c>
      <c r="N69" s="1" t="s">
        <v>195</v>
      </c>
      <c r="O69" s="20">
        <v>-5.9969999999999999</v>
      </c>
      <c r="P69" s="20">
        <v>0.13500000000000001</v>
      </c>
      <c r="Q69" s="20">
        <v>-5.0519999999999996</v>
      </c>
      <c r="R69" s="20">
        <v>0.17399999999999999</v>
      </c>
      <c r="S69" s="20">
        <f>O69-Q69</f>
        <v>-0.94500000000000028</v>
      </c>
      <c r="T69" s="20">
        <f>SQRT((P69)^2 + (R69)^2)</f>
        <v>0.22022942582679547</v>
      </c>
      <c r="U69" s="20">
        <f>T69^2</f>
        <v>4.8501000000000009E-2</v>
      </c>
      <c r="V69" s="8">
        <v>-0.51</v>
      </c>
      <c r="W69" s="20">
        <f>(S69-V69)^2</f>
        <v>0.18922500000000023</v>
      </c>
      <c r="AF69" s="11"/>
      <c r="AG69" s="11"/>
      <c r="AH69" s="11"/>
      <c r="AI69" s="11"/>
      <c r="AJ69" s="11"/>
      <c r="AK69" s="11"/>
      <c r="AL69" s="11"/>
      <c r="AM69" s="11"/>
      <c r="AN69" s="11"/>
      <c r="AO69" s="11"/>
      <c r="AP69" s="11"/>
      <c r="AV69" s="1" t="s">
        <v>101</v>
      </c>
      <c r="AW69" s="26" t="s">
        <v>46</v>
      </c>
      <c r="AX69" s="3" t="s">
        <v>167</v>
      </c>
      <c r="AY69" s="3" t="s">
        <v>178</v>
      </c>
      <c r="AZ69" s="1" t="s">
        <v>59</v>
      </c>
      <c r="BA69" s="32">
        <v>12.904999999999999</v>
      </c>
      <c r="BB69" s="32">
        <v>0.27700000000000002</v>
      </c>
      <c r="BC69" s="32">
        <v>12.784000000000001</v>
      </c>
      <c r="BD69" s="32">
        <v>0.17100000000000001</v>
      </c>
      <c r="BE69" s="32">
        <v>0.121</v>
      </c>
      <c r="BF69" s="32">
        <v>0.32553033999999997</v>
      </c>
      <c r="BG69" s="32">
        <v>0.10596999999999999</v>
      </c>
      <c r="BH69" s="33">
        <v>-0.85</v>
      </c>
      <c r="BI69" s="32">
        <v>0.94284100000000004</v>
      </c>
    </row>
    <row r="70" spans="10:62" ht="17">
      <c r="U70" s="18" t="s">
        <v>67</v>
      </c>
      <c r="V70" s="18"/>
      <c r="W70" s="18" t="s">
        <v>67</v>
      </c>
      <c r="AA70" s="10" t="s">
        <v>157</v>
      </c>
      <c r="AB70" s="11"/>
      <c r="AC70" s="11"/>
      <c r="AD70" s="11"/>
      <c r="AE70" s="11"/>
      <c r="AF70" s="11"/>
      <c r="AG70" s="11"/>
      <c r="AH70" s="11"/>
      <c r="AI70" s="11"/>
      <c r="AJ70" s="11"/>
      <c r="AK70" s="11"/>
      <c r="AL70" s="11"/>
      <c r="AM70" s="11"/>
      <c r="AN70" s="11"/>
      <c r="AO70" s="11"/>
      <c r="AP70" s="11"/>
      <c r="AV70" s="1" t="s">
        <v>101</v>
      </c>
      <c r="AW70" s="26" t="s">
        <v>46</v>
      </c>
      <c r="AX70" s="3" t="s">
        <v>13</v>
      </c>
      <c r="AY70" s="3" t="s">
        <v>179</v>
      </c>
      <c r="AZ70" s="1" t="s">
        <v>187</v>
      </c>
      <c r="BA70" s="32">
        <v>16.305</v>
      </c>
      <c r="BB70" s="32">
        <v>0.18099999999999999</v>
      </c>
      <c r="BC70" s="32">
        <v>13.923</v>
      </c>
      <c r="BD70" s="32">
        <v>4.2000000000000003E-2</v>
      </c>
      <c r="BE70" s="32">
        <v>2.3820000000000001</v>
      </c>
      <c r="BF70" s="32">
        <v>0.18580904000000001</v>
      </c>
      <c r="BG70" s="32">
        <v>3.4525E-2</v>
      </c>
      <c r="BH70" s="33">
        <v>0.46</v>
      </c>
      <c r="BI70" s="32">
        <v>3.6940840000000001</v>
      </c>
    </row>
    <row r="71" spans="10:62">
      <c r="U71" s="20">
        <f>SUM(U62:U69)</f>
        <v>0.58066700000000004</v>
      </c>
      <c r="V71" s="20"/>
      <c r="W71" s="20">
        <f>SUM(W62:W69)</f>
        <v>5.1285720000000028</v>
      </c>
      <c r="AA71" s="12" t="s">
        <v>30</v>
      </c>
      <c r="AB71" s="12" t="s">
        <v>31</v>
      </c>
      <c r="AC71" s="13" t="s">
        <v>32</v>
      </c>
      <c r="AD71" s="12" t="s">
        <v>33</v>
      </c>
      <c r="AE71" s="12" t="s">
        <v>34</v>
      </c>
      <c r="AF71" s="12" t="s">
        <v>35</v>
      </c>
      <c r="AG71" s="12" t="s">
        <v>36</v>
      </c>
      <c r="AH71" s="12" t="s">
        <v>37</v>
      </c>
      <c r="AI71" s="12" t="s">
        <v>38</v>
      </c>
      <c r="AJ71" s="12" t="s">
        <v>39</v>
      </c>
      <c r="AK71" s="14" t="s">
        <v>40</v>
      </c>
      <c r="AL71" s="12" t="s">
        <v>41</v>
      </c>
      <c r="AM71" s="12" t="s">
        <v>42</v>
      </c>
      <c r="AN71" s="12" t="s">
        <v>43</v>
      </c>
      <c r="AO71" s="11"/>
      <c r="AP71" s="11"/>
      <c r="AV71" s="1" t="s">
        <v>101</v>
      </c>
      <c r="AW71" s="26" t="s">
        <v>46</v>
      </c>
      <c r="AX71" s="3" t="s">
        <v>168</v>
      </c>
      <c r="AY71" s="3" t="s">
        <v>180</v>
      </c>
      <c r="AZ71" s="1" t="s">
        <v>61</v>
      </c>
      <c r="BA71" s="32">
        <v>-4.8209999999999997</v>
      </c>
      <c r="BB71" s="32">
        <v>0.153</v>
      </c>
      <c r="BC71" s="32">
        <v>-5.0659999999999998</v>
      </c>
      <c r="BD71" s="32">
        <v>0.04</v>
      </c>
      <c r="BE71" s="32">
        <v>0.245</v>
      </c>
      <c r="BF71" s="32">
        <v>0.15814233999999999</v>
      </c>
      <c r="BG71" s="32">
        <v>2.5009E-2</v>
      </c>
      <c r="BH71" s="33">
        <v>0.99</v>
      </c>
      <c r="BI71" s="32">
        <v>0.55502499999999999</v>
      </c>
    </row>
    <row r="72" spans="10:62">
      <c r="U72" s="20"/>
      <c r="V72" s="20"/>
      <c r="W72" s="20"/>
      <c r="AA72" s="26" t="s">
        <v>82</v>
      </c>
      <c r="AB72" s="26" t="s">
        <v>46</v>
      </c>
      <c r="AC72" s="3" t="s">
        <v>162</v>
      </c>
      <c r="AD72" s="3" t="s">
        <v>199</v>
      </c>
      <c r="AE72" s="1" t="s">
        <v>202</v>
      </c>
      <c r="AF72" s="20">
        <v>4.7489999999999997</v>
      </c>
      <c r="AG72" s="20">
        <v>0.39800000000000002</v>
      </c>
      <c r="AH72" s="20">
        <v>2.6240000000000001</v>
      </c>
      <c r="AI72" s="20">
        <v>0.248</v>
      </c>
      <c r="AJ72" s="20">
        <f>AF72-AH72</f>
        <v>2.1249999999999996</v>
      </c>
      <c r="AK72" s="20">
        <f>SQRT((AG72)^2 + (AI72)^2)</f>
        <v>0.46894349339765873</v>
      </c>
      <c r="AL72" s="20">
        <f>AK72^2</f>
        <v>0.21990799999999999</v>
      </c>
      <c r="AM72" s="8">
        <v>0.56999999999999995</v>
      </c>
      <c r="AN72" s="20">
        <f>(AJ72-AM72)^2</f>
        <v>2.4180249999999992</v>
      </c>
      <c r="AO72" s="11"/>
      <c r="AP72" s="11"/>
      <c r="AV72" s="1" t="s">
        <v>101</v>
      </c>
      <c r="AW72" s="26" t="s">
        <v>46</v>
      </c>
      <c r="AX72" s="3" t="s">
        <v>169</v>
      </c>
      <c r="AY72" s="3" t="s">
        <v>181</v>
      </c>
      <c r="AZ72" s="1" t="s">
        <v>91</v>
      </c>
      <c r="BA72" s="32">
        <v>69.619</v>
      </c>
      <c r="BB72" s="32">
        <v>0.185</v>
      </c>
      <c r="BC72" s="32">
        <v>69.454999999999998</v>
      </c>
      <c r="BD72" s="32">
        <v>4.5999999999999999E-2</v>
      </c>
      <c r="BE72" s="32">
        <v>0.16400000000000001</v>
      </c>
      <c r="BF72" s="32">
        <v>0.19063316</v>
      </c>
      <c r="BG72" s="32">
        <v>3.6340999999999998E-2</v>
      </c>
      <c r="BH72" s="33">
        <v>1.53</v>
      </c>
      <c r="BI72" s="32">
        <v>1.8659559999999999</v>
      </c>
    </row>
    <row r="73" spans="10:62">
      <c r="U73" s="20"/>
      <c r="V73" s="19" t="s">
        <v>68</v>
      </c>
      <c r="W73" s="20">
        <f>SQRT(W71/8)</f>
        <v>0.80066940743355519</v>
      </c>
      <c r="AA73" s="26" t="s">
        <v>82</v>
      </c>
      <c r="AB73" s="26" t="s">
        <v>46</v>
      </c>
      <c r="AC73" s="3" t="s">
        <v>166</v>
      </c>
      <c r="AD73" s="3" t="s">
        <v>125</v>
      </c>
      <c r="AE73" s="1" t="s">
        <v>204</v>
      </c>
      <c r="AF73" s="20">
        <v>-4.3090000000000002</v>
      </c>
      <c r="AG73" s="20">
        <v>0.23400000000000001</v>
      </c>
      <c r="AH73" s="20">
        <v>-4.2960000000000003</v>
      </c>
      <c r="AI73" s="20">
        <v>4.8000000000000001E-2</v>
      </c>
      <c r="AJ73" s="20">
        <f t="shared" ref="AJ73:AJ80" si="20">AF73-AH73</f>
        <v>-1.2999999999999901E-2</v>
      </c>
      <c r="AK73" s="20">
        <f t="shared" ref="AK73:AK80" si="21">SQRT((AG73)^2 + (AI73)^2)</f>
        <v>0.23887235084873262</v>
      </c>
      <c r="AL73" s="20">
        <f t="shared" ref="AL73:AL80" si="22">AK73^2</f>
        <v>5.7060000000000013E-2</v>
      </c>
      <c r="AM73" s="8">
        <v>-0.82</v>
      </c>
      <c r="AN73" s="20">
        <f t="shared" ref="AN73:AN80" si="23">(AJ73-AM73)^2</f>
        <v>0.65124900000000008</v>
      </c>
      <c r="AO73" s="11"/>
      <c r="AP73" s="11"/>
      <c r="AV73" s="1" t="s">
        <v>101</v>
      </c>
      <c r="AW73" s="26" t="s">
        <v>46</v>
      </c>
      <c r="AX73" s="3" t="s">
        <v>170</v>
      </c>
      <c r="AY73" s="3" t="s">
        <v>201</v>
      </c>
      <c r="AZ73" s="1" t="s">
        <v>205</v>
      </c>
      <c r="BA73" s="32">
        <v>11.676</v>
      </c>
      <c r="BB73" s="32">
        <v>5.1999999999999998E-2</v>
      </c>
      <c r="BC73" s="32">
        <v>12.621</v>
      </c>
      <c r="BD73" s="32">
        <v>0.14499999999999999</v>
      </c>
      <c r="BE73" s="32">
        <v>-0.94499999999999995</v>
      </c>
      <c r="BF73" s="32">
        <v>0.15404219999999999</v>
      </c>
      <c r="BG73" s="32">
        <v>2.3729E-2</v>
      </c>
      <c r="BH73" s="33">
        <v>0.06</v>
      </c>
      <c r="BI73" s="32">
        <v>1.010025</v>
      </c>
    </row>
    <row r="74" spans="10:62">
      <c r="U74" s="20"/>
      <c r="V74" s="19" t="s">
        <v>40</v>
      </c>
      <c r="W74" s="20">
        <f>SQRT(U71/8)</f>
        <v>0.26941301935875334</v>
      </c>
      <c r="AA74" s="26" t="s">
        <v>82</v>
      </c>
      <c r="AB74" s="26" t="s">
        <v>46</v>
      </c>
      <c r="AC74" s="3" t="s">
        <v>167</v>
      </c>
      <c r="AD74" s="3" t="s">
        <v>178</v>
      </c>
      <c r="AE74" s="1" t="s">
        <v>59</v>
      </c>
      <c r="AF74" s="20">
        <v>12.282999999999999</v>
      </c>
      <c r="AG74" s="20">
        <v>0.18</v>
      </c>
      <c r="AH74" s="20">
        <v>12.984999999999999</v>
      </c>
      <c r="AI74" s="20">
        <v>3.4000000000000002E-2</v>
      </c>
      <c r="AJ74" s="20">
        <f t="shared" si="20"/>
        <v>-0.70199999999999996</v>
      </c>
      <c r="AK74" s="20">
        <f t="shared" si="21"/>
        <v>0.18318296864064626</v>
      </c>
      <c r="AL74" s="20">
        <f t="shared" si="22"/>
        <v>3.3555999999999989E-2</v>
      </c>
      <c r="AM74" s="8">
        <v>-0.85</v>
      </c>
      <c r="AN74" s="20">
        <f t="shared" si="23"/>
        <v>2.1904000000000007E-2</v>
      </c>
      <c r="AO74" s="11"/>
      <c r="AP74" s="11"/>
      <c r="AV74" s="1" t="s">
        <v>101</v>
      </c>
      <c r="AW74" s="26" t="s">
        <v>46</v>
      </c>
      <c r="AX74" s="3" t="s">
        <v>171</v>
      </c>
      <c r="AY74" s="3" t="s">
        <v>86</v>
      </c>
      <c r="AZ74" s="1" t="s">
        <v>92</v>
      </c>
      <c r="BA74" s="32">
        <v>-7.165</v>
      </c>
      <c r="BB74" s="32">
        <v>0.252</v>
      </c>
      <c r="BC74" s="32">
        <v>-8.4420000000000002</v>
      </c>
      <c r="BD74" s="32">
        <v>0.109</v>
      </c>
      <c r="BE74" s="32">
        <v>1.2769999999999999</v>
      </c>
      <c r="BF74" s="32">
        <v>0.27456329000000002</v>
      </c>
      <c r="BG74" s="32">
        <v>7.5384999999999994E-2</v>
      </c>
      <c r="BH74" s="33">
        <v>0.47</v>
      </c>
      <c r="BI74" s="32">
        <v>0.65124899999999997</v>
      </c>
    </row>
    <row r="75" spans="10:62">
      <c r="U75" s="20"/>
      <c r="V75" s="20"/>
      <c r="W75" s="20"/>
      <c r="AA75" s="26" t="s">
        <v>82</v>
      </c>
      <c r="AB75" s="26" t="s">
        <v>46</v>
      </c>
      <c r="AC75" s="3" t="s">
        <v>13</v>
      </c>
      <c r="AD75" s="3" t="s">
        <v>179</v>
      </c>
      <c r="AE75" s="1" t="s">
        <v>187</v>
      </c>
      <c r="AF75" s="20">
        <v>16.119</v>
      </c>
      <c r="AG75" s="20">
        <v>0.214</v>
      </c>
      <c r="AH75" s="20">
        <v>13.843</v>
      </c>
      <c r="AI75" s="20">
        <v>9.2999999999999999E-2</v>
      </c>
      <c r="AJ75" s="20">
        <f t="shared" si="20"/>
        <v>2.2759999999999998</v>
      </c>
      <c r="AK75" s="20">
        <f t="shared" si="21"/>
        <v>0.23333452380648689</v>
      </c>
      <c r="AL75" s="20">
        <f t="shared" si="22"/>
        <v>5.4445E-2</v>
      </c>
      <c r="AM75" s="8">
        <v>0.46</v>
      </c>
      <c r="AN75" s="20">
        <f t="shared" si="23"/>
        <v>3.2978559999999995</v>
      </c>
      <c r="AO75" s="11"/>
      <c r="AP75" s="11"/>
      <c r="AV75" s="1" t="s">
        <v>101</v>
      </c>
      <c r="AW75" s="26" t="s">
        <v>46</v>
      </c>
      <c r="AX75" s="3" t="s">
        <v>172</v>
      </c>
      <c r="AY75" s="3" t="s">
        <v>182</v>
      </c>
      <c r="AZ75" s="1" t="s">
        <v>93</v>
      </c>
      <c r="BA75" s="32">
        <v>10.811999999999999</v>
      </c>
      <c r="BB75" s="32">
        <v>0.11</v>
      </c>
      <c r="BC75" s="32">
        <v>10.672000000000001</v>
      </c>
      <c r="BD75" s="32">
        <v>8.7999999999999995E-2</v>
      </c>
      <c r="BE75" s="32">
        <v>0.14000000000000001</v>
      </c>
      <c r="BF75" s="32">
        <v>0.14086873</v>
      </c>
      <c r="BG75" s="32">
        <v>1.9844000000000001E-2</v>
      </c>
      <c r="BH75" s="33">
        <v>-0.43</v>
      </c>
      <c r="BI75" s="32">
        <v>0.32490000000000002</v>
      </c>
    </row>
    <row r="76" spans="10:62">
      <c r="U76" s="20"/>
      <c r="V76" s="20"/>
      <c r="W76" s="20"/>
      <c r="AA76" s="26" t="s">
        <v>82</v>
      </c>
      <c r="AB76" s="26" t="s">
        <v>46</v>
      </c>
      <c r="AC76" s="3" t="s">
        <v>168</v>
      </c>
      <c r="AD76" s="3" t="s">
        <v>180</v>
      </c>
      <c r="AE76" s="1" t="s">
        <v>61</v>
      </c>
      <c r="AF76" s="20">
        <v>-4.7889999999999997</v>
      </c>
      <c r="AG76" s="20">
        <v>9.2999999999999999E-2</v>
      </c>
      <c r="AH76" s="20">
        <v>-4.9820000000000002</v>
      </c>
      <c r="AI76" s="20">
        <v>1.9E-2</v>
      </c>
      <c r="AJ76" s="20">
        <f t="shared" si="20"/>
        <v>0.1930000000000005</v>
      </c>
      <c r="AK76" s="20">
        <f t="shared" si="21"/>
        <v>9.4921019800674286E-2</v>
      </c>
      <c r="AL76" s="20">
        <f t="shared" si="22"/>
        <v>9.0100000000000006E-3</v>
      </c>
      <c r="AM76" s="8">
        <v>0.99</v>
      </c>
      <c r="AN76" s="20">
        <f t="shared" si="23"/>
        <v>0.63520899999999914</v>
      </c>
      <c r="AO76" s="11"/>
      <c r="AP76" s="11"/>
      <c r="AV76" s="1" t="s">
        <v>101</v>
      </c>
      <c r="AW76" s="1" t="s">
        <v>70</v>
      </c>
      <c r="AX76" s="3" t="s">
        <v>14</v>
      </c>
      <c r="AY76" s="3" t="s">
        <v>190</v>
      </c>
      <c r="AZ76" s="1" t="s">
        <v>195</v>
      </c>
      <c r="BA76" s="20">
        <v>-5.3040000000000003</v>
      </c>
      <c r="BB76" s="20">
        <v>6.8000000000000005E-2</v>
      </c>
      <c r="BC76" s="20">
        <v>-5.25</v>
      </c>
      <c r="BD76" s="20">
        <v>3.2000000000000001E-2</v>
      </c>
      <c r="BE76" s="20">
        <f>(BA76-BC76)</f>
        <v>-5.400000000000027E-2</v>
      </c>
      <c r="BF76" s="20">
        <f>SQRT((BB76)^2 + (BD76)^2)</f>
        <v>7.5153176912223743E-2</v>
      </c>
      <c r="BG76" s="20">
        <f>BF76^2</f>
        <v>5.6480000000000002E-3</v>
      </c>
      <c r="BH76" s="8">
        <v>-0.51</v>
      </c>
      <c r="BI76" s="20">
        <f>(BE76-BH76)^2</f>
        <v>0.20793599999999976</v>
      </c>
    </row>
    <row r="77" spans="10:62">
      <c r="U77" s="20"/>
      <c r="V77" s="20"/>
      <c r="W77" s="20"/>
      <c r="AA77" s="26" t="s">
        <v>82</v>
      </c>
      <c r="AB77" s="26" t="s">
        <v>46</v>
      </c>
      <c r="AC77" s="3" t="s">
        <v>169</v>
      </c>
      <c r="AD77" s="3" t="s">
        <v>181</v>
      </c>
      <c r="AE77" s="1" t="s">
        <v>91</v>
      </c>
      <c r="AF77" s="20">
        <v>70.179000000000002</v>
      </c>
      <c r="AG77" s="20">
        <v>0.24099999999999999</v>
      </c>
      <c r="AH77" s="20">
        <v>69.418000000000006</v>
      </c>
      <c r="AI77" s="20">
        <v>0.04</v>
      </c>
      <c r="AJ77" s="20">
        <f t="shared" si="20"/>
        <v>0.76099999999999568</v>
      </c>
      <c r="AK77" s="20">
        <f t="shared" si="21"/>
        <v>0.24429695045169925</v>
      </c>
      <c r="AL77" s="20">
        <f t="shared" si="22"/>
        <v>5.9680999999999998E-2</v>
      </c>
      <c r="AM77" s="8">
        <v>1.53</v>
      </c>
      <c r="AN77" s="20">
        <f t="shared" si="23"/>
        <v>0.59136100000000669</v>
      </c>
      <c r="AO77" s="11"/>
      <c r="AP77" s="11"/>
      <c r="BG77" s="18" t="s">
        <v>67</v>
      </c>
      <c r="BH77" s="18"/>
      <c r="BI77" s="18" t="s">
        <v>67</v>
      </c>
    </row>
    <row r="78" spans="10:62">
      <c r="AA78" s="26" t="s">
        <v>82</v>
      </c>
      <c r="AB78" s="26" t="s">
        <v>46</v>
      </c>
      <c r="AC78" s="3" t="s">
        <v>170</v>
      </c>
      <c r="AD78" s="3" t="s">
        <v>201</v>
      </c>
      <c r="AE78" s="1" t="s">
        <v>205</v>
      </c>
      <c r="AF78" s="20">
        <v>11.673999999999999</v>
      </c>
      <c r="AG78" s="20">
        <v>0.111</v>
      </c>
      <c r="AH78" s="20">
        <v>12.246</v>
      </c>
      <c r="AI78" s="20">
        <v>0.17299999999999999</v>
      </c>
      <c r="AJ78" s="20">
        <f t="shared" si="20"/>
        <v>-0.57200000000000095</v>
      </c>
      <c r="AK78" s="20">
        <f t="shared" si="21"/>
        <v>0.20554804791094464</v>
      </c>
      <c r="AL78" s="20">
        <f t="shared" si="22"/>
        <v>4.2249999999999989E-2</v>
      </c>
      <c r="AM78" s="8">
        <v>0.06</v>
      </c>
      <c r="AN78" s="20">
        <f t="shared" si="23"/>
        <v>0.39942400000000128</v>
      </c>
      <c r="BG78" s="20">
        <f>SUM(BG67:BG76)</f>
        <v>0.39052100000000001</v>
      </c>
      <c r="BH78" s="20"/>
      <c r="BI78" s="20">
        <f>SUM(BI67:BI76)</f>
        <v>17.638733000000002</v>
      </c>
    </row>
    <row r="79" spans="10:62">
      <c r="AA79" s="26" t="s">
        <v>82</v>
      </c>
      <c r="AB79" s="26" t="s">
        <v>46</v>
      </c>
      <c r="AC79" s="3" t="s">
        <v>171</v>
      </c>
      <c r="AD79" s="3" t="s">
        <v>86</v>
      </c>
      <c r="AE79" s="1" t="s">
        <v>92</v>
      </c>
      <c r="AF79" s="20">
        <v>-7.7270000000000003</v>
      </c>
      <c r="AG79" s="20">
        <v>0.34300000000000003</v>
      </c>
      <c r="AH79" s="20">
        <v>-8.2859999999999996</v>
      </c>
      <c r="AI79" s="20">
        <v>9.9000000000000005E-2</v>
      </c>
      <c r="AJ79" s="20">
        <f t="shared" si="20"/>
        <v>0.55899999999999928</v>
      </c>
      <c r="AK79" s="20">
        <f t="shared" si="21"/>
        <v>0.35700140055747681</v>
      </c>
      <c r="AL79" s="20">
        <f t="shared" si="22"/>
        <v>0.12745000000000001</v>
      </c>
      <c r="AM79" s="8">
        <v>0.47</v>
      </c>
      <c r="AN79" s="20">
        <f t="shared" si="23"/>
        <v>7.9209999999998761E-3</v>
      </c>
      <c r="BG79" s="20"/>
      <c r="BH79" s="20"/>
      <c r="BI79" s="20"/>
    </row>
    <row r="80" spans="10:62">
      <c r="AA80" s="26" t="s">
        <v>82</v>
      </c>
      <c r="AB80" s="26" t="s">
        <v>46</v>
      </c>
      <c r="AC80" s="3" t="s">
        <v>172</v>
      </c>
      <c r="AD80" s="3" t="s">
        <v>182</v>
      </c>
      <c r="AE80" s="1" t="s">
        <v>93</v>
      </c>
      <c r="AF80" s="20">
        <v>11.613</v>
      </c>
      <c r="AG80" s="20">
        <v>0.127</v>
      </c>
      <c r="AH80" s="20">
        <v>10.423</v>
      </c>
      <c r="AI80" s="20">
        <v>0.13500000000000001</v>
      </c>
      <c r="AJ80" s="20">
        <f t="shared" si="20"/>
        <v>1.1899999999999995</v>
      </c>
      <c r="AK80" s="20">
        <f t="shared" si="21"/>
        <v>0.18534832073693033</v>
      </c>
      <c r="AL80" s="20">
        <f t="shared" si="22"/>
        <v>3.4353999999999996E-2</v>
      </c>
      <c r="AM80" s="8">
        <v>-0.43</v>
      </c>
      <c r="AN80" s="20">
        <f t="shared" si="23"/>
        <v>2.6243999999999983</v>
      </c>
      <c r="BG80" s="20"/>
      <c r="BH80" s="19" t="s">
        <v>68</v>
      </c>
      <c r="BI80" s="20">
        <f>SQRT(BI78/10)</f>
        <v>1.3281089187261714</v>
      </c>
    </row>
    <row r="81" spans="27:61">
      <c r="AA81" s="15" t="s">
        <v>82</v>
      </c>
      <c r="AB81" s="1" t="s">
        <v>70</v>
      </c>
      <c r="AC81" s="3" t="s">
        <v>14</v>
      </c>
      <c r="AD81" s="3" t="s">
        <v>190</v>
      </c>
      <c r="AE81" s="1" t="s">
        <v>195</v>
      </c>
      <c r="AF81" s="20">
        <v>-5.1050000000000004</v>
      </c>
      <c r="AG81" s="20">
        <v>8.5999999999999993E-2</v>
      </c>
      <c r="AH81" s="20">
        <v>-5.056</v>
      </c>
      <c r="AI81" s="20">
        <v>5.0999999999999997E-2</v>
      </c>
      <c r="AJ81" s="20">
        <f>(AF81-AH81)</f>
        <v>-4.9000000000000377E-2</v>
      </c>
      <c r="AK81" s="20">
        <f>SQRT((AG81)^2 + (AI81)^2)</f>
        <v>9.9984998874831213E-2</v>
      </c>
      <c r="AL81" s="20">
        <f>AK81^2</f>
        <v>9.9969999999999989E-3</v>
      </c>
      <c r="AM81" s="8">
        <v>-0.51</v>
      </c>
      <c r="AN81" s="20">
        <f>(AJ81-AM81)^2</f>
        <v>0.21252099999999965</v>
      </c>
      <c r="BG81" s="20"/>
      <c r="BH81" s="19" t="s">
        <v>40</v>
      </c>
      <c r="BI81" s="20">
        <f>SQRT(BG78/10)</f>
        <v>0.19761604185895434</v>
      </c>
    </row>
    <row r="82" spans="27:61">
      <c r="AL82" s="18" t="s">
        <v>67</v>
      </c>
      <c r="AM82" s="18"/>
      <c r="AN82" s="18" t="s">
        <v>67</v>
      </c>
    </row>
    <row r="83" spans="27:61">
      <c r="AL83" s="11">
        <f>SUM(AL72:AL81)</f>
        <v>0.64771100000000004</v>
      </c>
      <c r="AN83" s="11">
        <f>SUM(AN72:AN81)</f>
        <v>10.859870000000003</v>
      </c>
    </row>
    <row r="85" spans="27:61">
      <c r="AM85" s="19" t="s">
        <v>68</v>
      </c>
      <c r="AN85">
        <f>SQRT(AN83/10)</f>
        <v>1.0421070002643684</v>
      </c>
    </row>
    <row r="86" spans="27:61">
      <c r="AM86" s="19" t="s">
        <v>40</v>
      </c>
      <c r="AN86">
        <f>SQRT(AL83/10)</f>
        <v>0.25450166993558215</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F6442-3326-4A49-8D84-01D99BEC5B42}">
  <dimension ref="A1:AG128"/>
  <sheetViews>
    <sheetView topLeftCell="Q32" zoomScale="87" workbookViewId="0">
      <selection activeCell="A3" sqref="A3:P60"/>
    </sheetView>
  </sheetViews>
  <sheetFormatPr baseColWidth="10" defaultRowHeight="16"/>
  <cols>
    <col min="4" max="4" width="22.1640625" customWidth="1"/>
    <col min="5" max="5" width="15" customWidth="1"/>
    <col min="7" max="7" width="18" customWidth="1"/>
    <col min="8" max="8" width="23.83203125" customWidth="1"/>
    <col min="9" max="9" width="15.83203125" customWidth="1"/>
    <col min="10" max="10" width="22.5" customWidth="1"/>
    <col min="12" max="12" width="15.5" customWidth="1"/>
    <col min="13" max="13" width="15" customWidth="1"/>
    <col min="15" max="15" width="14.6640625" customWidth="1"/>
    <col min="22" max="22" width="13.83203125" customWidth="1"/>
    <col min="25" max="25" width="15.33203125" customWidth="1"/>
    <col min="26" max="26" width="18.83203125" customWidth="1"/>
    <col min="27" max="27" width="20.5" customWidth="1"/>
    <col min="28" max="28" width="21" customWidth="1"/>
    <col min="31" max="31" width="14.6640625" customWidth="1"/>
  </cols>
  <sheetData>
    <row r="1" spans="1:33">
      <c r="A1" s="34" t="s">
        <v>212</v>
      </c>
      <c r="B1" s="35"/>
      <c r="C1" s="35"/>
      <c r="D1" s="35"/>
      <c r="E1" s="35"/>
      <c r="F1" s="35"/>
      <c r="G1" s="35"/>
      <c r="H1" s="35"/>
      <c r="I1" s="35"/>
      <c r="J1" s="35"/>
      <c r="K1" s="35"/>
      <c r="L1" s="35"/>
      <c r="M1" s="35"/>
      <c r="N1" s="35"/>
      <c r="O1" s="35"/>
      <c r="S1" s="34" t="s">
        <v>216</v>
      </c>
      <c r="T1" s="35"/>
      <c r="U1" s="35"/>
      <c r="V1" s="35"/>
      <c r="W1" s="35"/>
      <c r="X1" s="35"/>
      <c r="Y1" s="35"/>
      <c r="Z1" s="35"/>
      <c r="AA1" s="35"/>
      <c r="AB1" s="35"/>
      <c r="AC1" s="35"/>
      <c r="AD1" s="35"/>
      <c r="AE1" s="35"/>
      <c r="AF1" s="35"/>
      <c r="AG1" s="35"/>
    </row>
    <row r="2" spans="1:33">
      <c r="A2" s="35"/>
      <c r="B2" s="36" t="s">
        <v>30</v>
      </c>
      <c r="C2" s="36" t="s">
        <v>31</v>
      </c>
      <c r="D2" s="36" t="s">
        <v>32</v>
      </c>
      <c r="E2" s="36" t="s">
        <v>33</v>
      </c>
      <c r="F2" s="36" t="s">
        <v>34</v>
      </c>
      <c r="G2" s="36" t="s">
        <v>35</v>
      </c>
      <c r="H2" s="36" t="s">
        <v>36</v>
      </c>
      <c r="I2" s="36" t="s">
        <v>37</v>
      </c>
      <c r="J2" s="36" t="s">
        <v>38</v>
      </c>
      <c r="K2" s="36" t="s">
        <v>39</v>
      </c>
      <c r="L2" s="37" t="s">
        <v>40</v>
      </c>
      <c r="M2" s="36" t="s">
        <v>41</v>
      </c>
      <c r="N2" s="36" t="s">
        <v>42</v>
      </c>
      <c r="O2" s="36" t="s">
        <v>43</v>
      </c>
      <c r="S2" s="35"/>
      <c r="T2" s="36" t="s">
        <v>30</v>
      </c>
      <c r="U2" s="36" t="s">
        <v>31</v>
      </c>
      <c r="V2" s="36" t="s">
        <v>32</v>
      </c>
      <c r="W2" s="36" t="s">
        <v>33</v>
      </c>
      <c r="X2" s="36" t="s">
        <v>34</v>
      </c>
      <c r="Y2" s="36" t="s">
        <v>35</v>
      </c>
      <c r="Z2" s="36" t="s">
        <v>36</v>
      </c>
      <c r="AA2" s="36" t="s">
        <v>37</v>
      </c>
      <c r="AB2" s="36" t="s">
        <v>38</v>
      </c>
      <c r="AC2" s="36" t="s">
        <v>39</v>
      </c>
      <c r="AD2" s="37" t="s">
        <v>40</v>
      </c>
      <c r="AE2" s="36" t="s">
        <v>41</v>
      </c>
      <c r="AF2" s="36" t="s">
        <v>42</v>
      </c>
      <c r="AG2" s="36" t="s">
        <v>43</v>
      </c>
    </row>
    <row r="3" spans="1:33">
      <c r="A3" s="38" t="s">
        <v>213</v>
      </c>
      <c r="B3" s="15" t="s">
        <v>82</v>
      </c>
      <c r="C3" s="15" t="s">
        <v>46</v>
      </c>
      <c r="D3" s="3" t="s">
        <v>5</v>
      </c>
      <c r="E3" s="3" t="s">
        <v>47</v>
      </c>
      <c r="F3" s="1" t="s">
        <v>56</v>
      </c>
      <c r="G3" s="20">
        <v>-12.409000000000001</v>
      </c>
      <c r="H3" s="20">
        <v>0.20899999999999999</v>
      </c>
      <c r="I3" s="20">
        <v>-13.032999999999999</v>
      </c>
      <c r="J3" s="20">
        <v>0.20200000000000001</v>
      </c>
      <c r="K3" s="20">
        <f>G3-I3</f>
        <v>0.62399999999999878</v>
      </c>
      <c r="L3" s="20">
        <f>SQRT((H3)^2 + (J3)^2)</f>
        <v>0.29066303514551006</v>
      </c>
      <c r="M3" s="20">
        <f>L3^2</f>
        <v>8.4485000000000018E-2</v>
      </c>
      <c r="N3" s="8">
        <v>-0.01</v>
      </c>
      <c r="O3" s="20">
        <f>(K3-N3)^2</f>
        <v>0.40195599999999848</v>
      </c>
      <c r="S3" s="38" t="s">
        <v>213</v>
      </c>
      <c r="T3" s="15" t="s">
        <v>82</v>
      </c>
      <c r="U3" s="15" t="s">
        <v>46</v>
      </c>
      <c r="V3" s="3" t="s">
        <v>5</v>
      </c>
      <c r="W3" s="3" t="s">
        <v>47</v>
      </c>
      <c r="X3" s="1" t="s">
        <v>56</v>
      </c>
      <c r="Y3" s="20">
        <v>-12.409000000000001</v>
      </c>
      <c r="Z3" s="20">
        <v>0.20899999999999999</v>
      </c>
      <c r="AA3" s="20">
        <v>-13.032999999999999</v>
      </c>
      <c r="AB3" s="20">
        <v>0.20200000000000001</v>
      </c>
      <c r="AC3" s="20">
        <f>Y3-AA3</f>
        <v>0.62399999999999878</v>
      </c>
      <c r="AD3" s="20">
        <f>SQRT((Z3)^2 + (AB3)^2)</f>
        <v>0.29066303514551006</v>
      </c>
      <c r="AE3" s="20">
        <f>AD3^2</f>
        <v>8.4485000000000018E-2</v>
      </c>
      <c r="AF3" s="8">
        <v>-0.01</v>
      </c>
      <c r="AG3" s="20">
        <f>(AC3-AF3)^2</f>
        <v>0.40195599999999848</v>
      </c>
    </row>
    <row r="4" spans="1:33">
      <c r="A4" s="38" t="s">
        <v>213</v>
      </c>
      <c r="B4" s="15" t="s">
        <v>82</v>
      </c>
      <c r="C4" s="15" t="s">
        <v>46</v>
      </c>
      <c r="D4" s="3" t="s">
        <v>7</v>
      </c>
      <c r="E4" s="3" t="s">
        <v>48</v>
      </c>
      <c r="F4" s="1" t="s">
        <v>57</v>
      </c>
      <c r="G4" s="20">
        <v>11.23</v>
      </c>
      <c r="H4" s="20">
        <v>0.182</v>
      </c>
      <c r="I4" s="20">
        <v>11.393000000000001</v>
      </c>
      <c r="J4" s="20">
        <v>9.1999999999999998E-2</v>
      </c>
      <c r="K4" s="20">
        <f t="shared" ref="K4:K24" si="0">G4-I4</f>
        <v>-0.16300000000000026</v>
      </c>
      <c r="L4" s="20">
        <f t="shared" ref="L4:L24" si="1">SQRT((H4)^2 + (J4)^2)</f>
        <v>0.20393136100168605</v>
      </c>
      <c r="M4" s="20">
        <f t="shared" ref="M4:M24" si="2">L4^2</f>
        <v>4.1587999999999993E-2</v>
      </c>
      <c r="N4" s="8">
        <v>0.7</v>
      </c>
      <c r="O4" s="20">
        <f t="shared" ref="O4:O24" si="3">(K4-N4)^2</f>
        <v>0.74476900000000035</v>
      </c>
      <c r="S4" s="38" t="s">
        <v>213</v>
      </c>
      <c r="T4" s="15" t="s">
        <v>82</v>
      </c>
      <c r="U4" s="15" t="s">
        <v>46</v>
      </c>
      <c r="V4" s="3" t="s">
        <v>7</v>
      </c>
      <c r="W4" s="3" t="s">
        <v>48</v>
      </c>
      <c r="X4" s="1" t="s">
        <v>57</v>
      </c>
      <c r="Y4" s="20">
        <v>11.23</v>
      </c>
      <c r="Z4" s="20">
        <v>0.182</v>
      </c>
      <c r="AA4" s="20">
        <v>11.393000000000001</v>
      </c>
      <c r="AB4" s="20">
        <v>9.1999999999999998E-2</v>
      </c>
      <c r="AC4" s="20">
        <f t="shared" ref="AC4:AC31" si="4">Y4-AA4</f>
        <v>-0.16300000000000026</v>
      </c>
      <c r="AD4" s="20">
        <f t="shared" ref="AD4:AD31" si="5">SQRT((Z4)^2 + (AB4)^2)</f>
        <v>0.20393136100168605</v>
      </c>
      <c r="AE4" s="20">
        <f t="shared" ref="AE4:AE31" si="6">AD4^2</f>
        <v>4.1587999999999993E-2</v>
      </c>
      <c r="AF4" s="8">
        <v>0.7</v>
      </c>
      <c r="AG4" s="20">
        <f t="shared" ref="AG4:AG31" si="7">(AC4-AF4)^2</f>
        <v>0.74476900000000035</v>
      </c>
    </row>
    <row r="5" spans="1:33">
      <c r="A5" s="38" t="s">
        <v>213</v>
      </c>
      <c r="B5" s="15" t="s">
        <v>82</v>
      </c>
      <c r="C5" s="15" t="s">
        <v>46</v>
      </c>
      <c r="D5" s="3" t="s">
        <v>9</v>
      </c>
      <c r="E5" s="3" t="s">
        <v>83</v>
      </c>
      <c r="F5" s="1" t="s">
        <v>89</v>
      </c>
      <c r="G5" s="20">
        <v>-33.622</v>
      </c>
      <c r="H5" s="20">
        <v>0.41399999999999998</v>
      </c>
      <c r="I5" s="20">
        <v>-37.578000000000003</v>
      </c>
      <c r="J5" s="20">
        <v>0.16800000000000001</v>
      </c>
      <c r="K5" s="20">
        <f t="shared" si="0"/>
        <v>3.9560000000000031</v>
      </c>
      <c r="L5" s="20">
        <f t="shared" si="1"/>
        <v>0.44678854058715517</v>
      </c>
      <c r="M5" s="20">
        <f t="shared" si="2"/>
        <v>0.19961999999999999</v>
      </c>
      <c r="N5" s="8">
        <v>1.19</v>
      </c>
      <c r="O5" s="20">
        <f t="shared" si="3"/>
        <v>7.6507560000000172</v>
      </c>
      <c r="S5" s="38" t="s">
        <v>213</v>
      </c>
      <c r="T5" s="15" t="s">
        <v>82</v>
      </c>
      <c r="U5" s="15" t="s">
        <v>46</v>
      </c>
      <c r="V5" s="3" t="s">
        <v>9</v>
      </c>
      <c r="W5" s="3" t="s">
        <v>83</v>
      </c>
      <c r="X5" s="1" t="s">
        <v>89</v>
      </c>
      <c r="Y5" s="20">
        <v>-33.622</v>
      </c>
      <c r="Z5" s="20">
        <v>0.41399999999999998</v>
      </c>
      <c r="AA5" s="20">
        <v>-37.578000000000003</v>
      </c>
      <c r="AB5" s="20">
        <v>0.16800000000000001</v>
      </c>
      <c r="AC5" s="20">
        <f t="shared" si="4"/>
        <v>3.9560000000000031</v>
      </c>
      <c r="AD5" s="20">
        <f t="shared" si="5"/>
        <v>0.44678854058715517</v>
      </c>
      <c r="AE5" s="20">
        <f t="shared" si="6"/>
        <v>0.19961999999999999</v>
      </c>
      <c r="AF5" s="8">
        <v>1.19</v>
      </c>
      <c r="AG5" s="20">
        <f t="shared" si="7"/>
        <v>7.6507560000000172</v>
      </c>
    </row>
    <row r="6" spans="1:33">
      <c r="A6" s="38" t="s">
        <v>213</v>
      </c>
      <c r="B6" s="15" t="s">
        <v>101</v>
      </c>
      <c r="C6" s="15" t="s">
        <v>46</v>
      </c>
      <c r="D6" s="3" t="s">
        <v>11</v>
      </c>
      <c r="E6" s="3" t="s">
        <v>84</v>
      </c>
      <c r="F6" s="1" t="s">
        <v>90</v>
      </c>
      <c r="G6" s="20">
        <v>-40.414999999999999</v>
      </c>
      <c r="H6" s="20">
        <v>0.307</v>
      </c>
      <c r="I6" s="20">
        <v>-41.499000000000002</v>
      </c>
      <c r="J6" s="20">
        <v>0.23400000000000001</v>
      </c>
      <c r="K6" s="20">
        <f t="shared" si="0"/>
        <v>1.0840000000000032</v>
      </c>
      <c r="L6" s="20">
        <f t="shared" si="1"/>
        <v>0.3860116578550446</v>
      </c>
      <c r="M6" s="20">
        <f t="shared" si="2"/>
        <v>0.14900500000000003</v>
      </c>
      <c r="N6" s="8">
        <v>1.28</v>
      </c>
      <c r="O6" s="20">
        <f t="shared" si="3"/>
        <v>3.8415999999998764E-2</v>
      </c>
      <c r="S6" s="38" t="s">
        <v>213</v>
      </c>
      <c r="T6" s="15" t="s">
        <v>101</v>
      </c>
      <c r="U6" s="15" t="s">
        <v>46</v>
      </c>
      <c r="V6" s="3" t="s">
        <v>11</v>
      </c>
      <c r="W6" s="3" t="s">
        <v>84</v>
      </c>
      <c r="X6" s="1" t="s">
        <v>90</v>
      </c>
      <c r="Y6" s="20">
        <v>-40.414999999999999</v>
      </c>
      <c r="Z6" s="20">
        <v>0.307</v>
      </c>
      <c r="AA6" s="20">
        <v>-41.499000000000002</v>
      </c>
      <c r="AB6" s="20">
        <v>0.23400000000000001</v>
      </c>
      <c r="AC6" s="20">
        <f t="shared" si="4"/>
        <v>1.0840000000000032</v>
      </c>
      <c r="AD6" s="20">
        <f t="shared" si="5"/>
        <v>0.3860116578550446</v>
      </c>
      <c r="AE6" s="20">
        <f t="shared" si="6"/>
        <v>0.14900500000000003</v>
      </c>
      <c r="AF6" s="8">
        <v>1.28</v>
      </c>
      <c r="AG6" s="20">
        <f t="shared" si="7"/>
        <v>3.8415999999998764E-2</v>
      </c>
    </row>
    <row r="7" spans="1:33">
      <c r="A7" s="38" t="s">
        <v>213</v>
      </c>
      <c r="B7" s="15" t="s">
        <v>82</v>
      </c>
      <c r="C7" s="15" t="s">
        <v>46</v>
      </c>
      <c r="D7" s="3" t="s">
        <v>13</v>
      </c>
      <c r="E7" s="3" t="s">
        <v>49</v>
      </c>
      <c r="F7" s="1" t="s">
        <v>58</v>
      </c>
      <c r="G7" s="20">
        <v>12.587</v>
      </c>
      <c r="H7" s="20">
        <v>0.14499999999999999</v>
      </c>
      <c r="I7" s="20">
        <v>11.454000000000001</v>
      </c>
      <c r="J7" s="20">
        <v>0.09</v>
      </c>
      <c r="K7" s="20">
        <f t="shared" si="0"/>
        <v>1.1329999999999991</v>
      </c>
      <c r="L7" s="20">
        <f t="shared" si="1"/>
        <v>0.1706604816587601</v>
      </c>
      <c r="M7" s="20">
        <f t="shared" si="2"/>
        <v>2.9124999999999995E-2</v>
      </c>
      <c r="N7" s="8">
        <v>-1.28</v>
      </c>
      <c r="O7" s="20">
        <f t="shared" si="3"/>
        <v>5.822568999999997</v>
      </c>
      <c r="S7" s="38" t="s">
        <v>213</v>
      </c>
      <c r="T7" s="15" t="s">
        <v>82</v>
      </c>
      <c r="U7" s="15" t="s">
        <v>46</v>
      </c>
      <c r="V7" s="3" t="s">
        <v>13</v>
      </c>
      <c r="W7" s="3" t="s">
        <v>49</v>
      </c>
      <c r="X7" s="1" t="s">
        <v>58</v>
      </c>
      <c r="Y7" s="20">
        <v>12.587</v>
      </c>
      <c r="Z7" s="20">
        <v>0.14499999999999999</v>
      </c>
      <c r="AA7" s="20">
        <v>11.454000000000001</v>
      </c>
      <c r="AB7" s="20">
        <v>0.09</v>
      </c>
      <c r="AC7" s="20">
        <f t="shared" si="4"/>
        <v>1.1329999999999991</v>
      </c>
      <c r="AD7" s="20">
        <f t="shared" si="5"/>
        <v>0.1706604816587601</v>
      </c>
      <c r="AE7" s="20">
        <f t="shared" si="6"/>
        <v>2.9124999999999995E-2</v>
      </c>
      <c r="AF7" s="8">
        <v>-1.28</v>
      </c>
      <c r="AG7" s="20">
        <f t="shared" si="7"/>
        <v>5.822568999999997</v>
      </c>
    </row>
    <row r="8" spans="1:33">
      <c r="A8" s="38" t="s">
        <v>213</v>
      </c>
      <c r="B8" s="15" t="s">
        <v>82</v>
      </c>
      <c r="C8" s="15" t="s">
        <v>46</v>
      </c>
      <c r="D8" s="3" t="s">
        <v>15</v>
      </c>
      <c r="E8" s="3" t="s">
        <v>50</v>
      </c>
      <c r="F8" s="1" t="s">
        <v>59</v>
      </c>
      <c r="G8" s="20">
        <v>15.212999999999999</v>
      </c>
      <c r="H8" s="20">
        <v>0.249</v>
      </c>
      <c r="I8" s="20">
        <v>13.407999999999999</v>
      </c>
      <c r="J8" s="20">
        <v>7.0000000000000007E-2</v>
      </c>
      <c r="K8" s="20">
        <f t="shared" si="0"/>
        <v>1.8049999999999997</v>
      </c>
      <c r="L8" s="20">
        <f t="shared" si="1"/>
        <v>0.25865227623200998</v>
      </c>
      <c r="M8" s="20">
        <f t="shared" si="2"/>
        <v>6.6901000000000002E-2</v>
      </c>
      <c r="N8" s="8">
        <v>1.26</v>
      </c>
      <c r="O8" s="20">
        <f t="shared" si="3"/>
        <v>0.29702499999999971</v>
      </c>
      <c r="S8" s="38" t="s">
        <v>213</v>
      </c>
      <c r="T8" s="15" t="s">
        <v>82</v>
      </c>
      <c r="U8" s="15" t="s">
        <v>46</v>
      </c>
      <c r="V8" s="3" t="s">
        <v>15</v>
      </c>
      <c r="W8" s="3" t="s">
        <v>50</v>
      </c>
      <c r="X8" s="1" t="s">
        <v>59</v>
      </c>
      <c r="Y8" s="20">
        <v>15.212999999999999</v>
      </c>
      <c r="Z8" s="20">
        <v>0.249</v>
      </c>
      <c r="AA8" s="20">
        <v>13.407999999999999</v>
      </c>
      <c r="AB8" s="20">
        <v>7.0000000000000007E-2</v>
      </c>
      <c r="AC8" s="20">
        <f t="shared" si="4"/>
        <v>1.8049999999999997</v>
      </c>
      <c r="AD8" s="20">
        <f t="shared" si="5"/>
        <v>0.25865227623200998</v>
      </c>
      <c r="AE8" s="20">
        <f t="shared" si="6"/>
        <v>6.6901000000000002E-2</v>
      </c>
      <c r="AF8" s="8">
        <v>1.26</v>
      </c>
      <c r="AG8" s="20">
        <f t="shared" si="7"/>
        <v>0.29702499999999971</v>
      </c>
    </row>
    <row r="9" spans="1:33">
      <c r="A9" s="38" t="s">
        <v>213</v>
      </c>
      <c r="B9" s="15" t="s">
        <v>82</v>
      </c>
      <c r="C9" s="15" t="s">
        <v>46</v>
      </c>
      <c r="D9" s="3" t="s">
        <v>16</v>
      </c>
      <c r="E9" s="3" t="s">
        <v>51</v>
      </c>
      <c r="F9" s="1" t="s">
        <v>60</v>
      </c>
      <c r="G9" s="20">
        <v>-5.4050000000000002</v>
      </c>
      <c r="H9" s="20">
        <v>0.22500000000000001</v>
      </c>
      <c r="I9" s="20">
        <v>-6.15</v>
      </c>
      <c r="J9" s="20">
        <v>9.0999999999999998E-2</v>
      </c>
      <c r="K9" s="20">
        <f t="shared" si="0"/>
        <v>0.74500000000000011</v>
      </c>
      <c r="L9" s="20">
        <f t="shared" si="1"/>
        <v>0.24270558296009592</v>
      </c>
      <c r="M9" s="20">
        <f t="shared" si="2"/>
        <v>5.8906000000000007E-2</v>
      </c>
      <c r="N9" s="8">
        <v>1.35</v>
      </c>
      <c r="O9" s="20">
        <f t="shared" si="3"/>
        <v>0.36602499999999999</v>
      </c>
      <c r="S9" s="38" t="s">
        <v>213</v>
      </c>
      <c r="T9" s="15" t="s">
        <v>82</v>
      </c>
      <c r="U9" s="15" t="s">
        <v>46</v>
      </c>
      <c r="V9" s="3" t="s">
        <v>16</v>
      </c>
      <c r="W9" s="3" t="s">
        <v>51</v>
      </c>
      <c r="X9" s="1" t="s">
        <v>60</v>
      </c>
      <c r="Y9" s="20">
        <v>-5.4050000000000002</v>
      </c>
      <c r="Z9" s="20">
        <v>0.22500000000000001</v>
      </c>
      <c r="AA9" s="20">
        <v>-6.15</v>
      </c>
      <c r="AB9" s="20">
        <v>9.0999999999999998E-2</v>
      </c>
      <c r="AC9" s="20">
        <f t="shared" si="4"/>
        <v>0.74500000000000011</v>
      </c>
      <c r="AD9" s="20">
        <f t="shared" si="5"/>
        <v>0.24270558296009592</v>
      </c>
      <c r="AE9" s="20">
        <f t="shared" si="6"/>
        <v>5.8906000000000007E-2</v>
      </c>
      <c r="AF9" s="8">
        <v>1.35</v>
      </c>
      <c r="AG9" s="20">
        <f t="shared" si="7"/>
        <v>0.36602499999999999</v>
      </c>
    </row>
    <row r="10" spans="1:33">
      <c r="A10" s="38" t="s">
        <v>213</v>
      </c>
      <c r="B10" s="15" t="s">
        <v>82</v>
      </c>
      <c r="C10" s="15" t="s">
        <v>46</v>
      </c>
      <c r="D10" s="3" t="s">
        <v>17</v>
      </c>
      <c r="E10" s="3" t="s">
        <v>52</v>
      </c>
      <c r="F10" s="1" t="s">
        <v>61</v>
      </c>
      <c r="G10" s="20">
        <v>69.421000000000006</v>
      </c>
      <c r="H10" s="20">
        <v>0.41299999999999998</v>
      </c>
      <c r="I10" s="20">
        <v>70.144000000000005</v>
      </c>
      <c r="J10" s="20">
        <v>2.5999999999999999E-2</v>
      </c>
      <c r="K10" s="20">
        <f t="shared" si="0"/>
        <v>-0.72299999999999898</v>
      </c>
      <c r="L10" s="20">
        <f t="shared" si="1"/>
        <v>0.41381759266614077</v>
      </c>
      <c r="M10" s="20">
        <f t="shared" si="2"/>
        <v>0.17124500000000001</v>
      </c>
      <c r="N10" s="8">
        <v>1.76</v>
      </c>
      <c r="O10" s="20">
        <f t="shared" si="3"/>
        <v>6.1652889999999942</v>
      </c>
      <c r="S10" s="38" t="s">
        <v>213</v>
      </c>
      <c r="T10" s="15" t="s">
        <v>82</v>
      </c>
      <c r="U10" s="15" t="s">
        <v>46</v>
      </c>
      <c r="V10" s="3" t="s">
        <v>17</v>
      </c>
      <c r="W10" s="3" t="s">
        <v>52</v>
      </c>
      <c r="X10" s="1" t="s">
        <v>61</v>
      </c>
      <c r="Y10" s="20">
        <v>69.421000000000006</v>
      </c>
      <c r="Z10" s="20">
        <v>0.41299999999999998</v>
      </c>
      <c r="AA10" s="20">
        <v>70.144000000000005</v>
      </c>
      <c r="AB10" s="20">
        <v>2.5999999999999999E-2</v>
      </c>
      <c r="AC10" s="20">
        <f t="shared" si="4"/>
        <v>-0.72299999999999898</v>
      </c>
      <c r="AD10" s="20">
        <f t="shared" si="5"/>
        <v>0.41381759266614077</v>
      </c>
      <c r="AE10" s="20">
        <f t="shared" si="6"/>
        <v>0.17124500000000001</v>
      </c>
      <c r="AF10" s="8">
        <v>1.76</v>
      </c>
      <c r="AG10" s="20">
        <f t="shared" si="7"/>
        <v>6.1652889999999942</v>
      </c>
    </row>
    <row r="11" spans="1:33">
      <c r="A11" s="38" t="s">
        <v>213</v>
      </c>
      <c r="B11" s="15" t="s">
        <v>82</v>
      </c>
      <c r="C11" s="15" t="s">
        <v>46</v>
      </c>
      <c r="D11" s="3" t="s">
        <v>18</v>
      </c>
      <c r="E11" s="3" t="s">
        <v>85</v>
      </c>
      <c r="F11" s="1" t="s">
        <v>91</v>
      </c>
      <c r="G11" s="20">
        <v>-6.8070000000000004</v>
      </c>
      <c r="H11" s="20">
        <v>0.33900000000000002</v>
      </c>
      <c r="I11" s="20">
        <v>-6.8540000000000001</v>
      </c>
      <c r="J11" s="20">
        <v>0.27700000000000002</v>
      </c>
      <c r="K11" s="20">
        <f t="shared" si="0"/>
        <v>4.6999999999999709E-2</v>
      </c>
      <c r="L11" s="20">
        <f t="shared" si="1"/>
        <v>0.4377784827969507</v>
      </c>
      <c r="M11" s="20">
        <f t="shared" si="2"/>
        <v>0.19165000000000007</v>
      </c>
      <c r="N11" s="8">
        <v>0.54</v>
      </c>
      <c r="O11" s="20">
        <f t="shared" si="3"/>
        <v>0.24304900000000032</v>
      </c>
      <c r="S11" s="38" t="s">
        <v>213</v>
      </c>
      <c r="T11" s="15" t="s">
        <v>82</v>
      </c>
      <c r="U11" s="15" t="s">
        <v>46</v>
      </c>
      <c r="V11" s="3" t="s">
        <v>18</v>
      </c>
      <c r="W11" s="3" t="s">
        <v>85</v>
      </c>
      <c r="X11" s="1" t="s">
        <v>91</v>
      </c>
      <c r="Y11" s="20">
        <v>-6.8070000000000004</v>
      </c>
      <c r="Z11" s="20">
        <v>0.33900000000000002</v>
      </c>
      <c r="AA11" s="20">
        <v>-6.8540000000000001</v>
      </c>
      <c r="AB11" s="20">
        <v>0.27700000000000002</v>
      </c>
      <c r="AC11" s="20">
        <f t="shared" si="4"/>
        <v>4.6999999999999709E-2</v>
      </c>
      <c r="AD11" s="20">
        <f t="shared" si="5"/>
        <v>0.4377784827969507</v>
      </c>
      <c r="AE11" s="20">
        <f t="shared" si="6"/>
        <v>0.19165000000000007</v>
      </c>
      <c r="AF11" s="8">
        <v>0.54</v>
      </c>
      <c r="AG11" s="20">
        <f t="shared" si="7"/>
        <v>0.24304900000000032</v>
      </c>
    </row>
    <row r="12" spans="1:33">
      <c r="A12" s="38" t="s">
        <v>213</v>
      </c>
      <c r="B12" s="15" t="s">
        <v>82</v>
      </c>
      <c r="C12" s="15" t="s">
        <v>46</v>
      </c>
      <c r="D12" s="3" t="s">
        <v>20</v>
      </c>
      <c r="E12" s="3" t="s">
        <v>53</v>
      </c>
      <c r="F12" s="1" t="s">
        <v>62</v>
      </c>
      <c r="G12" s="20">
        <v>46.38</v>
      </c>
      <c r="H12" s="20">
        <v>0.126</v>
      </c>
      <c r="I12" s="20">
        <v>45.868000000000002</v>
      </c>
      <c r="J12" s="20">
        <v>0.08</v>
      </c>
      <c r="K12" s="20">
        <f t="shared" si="0"/>
        <v>0.51200000000000045</v>
      </c>
      <c r="L12" s="20">
        <f t="shared" si="1"/>
        <v>0.14925146565444508</v>
      </c>
      <c r="M12" s="20">
        <f t="shared" si="2"/>
        <v>2.2276000000000001E-2</v>
      </c>
      <c r="N12" s="8">
        <v>-0.35</v>
      </c>
      <c r="O12" s="20">
        <f t="shared" si="3"/>
        <v>0.7430440000000007</v>
      </c>
      <c r="S12" s="38" t="s">
        <v>213</v>
      </c>
      <c r="T12" s="15" t="s">
        <v>82</v>
      </c>
      <c r="U12" s="15" t="s">
        <v>46</v>
      </c>
      <c r="V12" s="3" t="s">
        <v>20</v>
      </c>
      <c r="W12" s="3" t="s">
        <v>53</v>
      </c>
      <c r="X12" s="1" t="s">
        <v>62</v>
      </c>
      <c r="Y12" s="20">
        <v>46.38</v>
      </c>
      <c r="Z12" s="20">
        <v>0.126</v>
      </c>
      <c r="AA12" s="20">
        <v>45.868000000000002</v>
      </c>
      <c r="AB12" s="20">
        <v>0.08</v>
      </c>
      <c r="AC12" s="20">
        <f t="shared" si="4"/>
        <v>0.51200000000000045</v>
      </c>
      <c r="AD12" s="20">
        <f t="shared" si="5"/>
        <v>0.14925146565444508</v>
      </c>
      <c r="AE12" s="20">
        <f t="shared" si="6"/>
        <v>2.2276000000000001E-2</v>
      </c>
      <c r="AF12" s="8">
        <v>-0.35</v>
      </c>
      <c r="AG12" s="20">
        <f t="shared" si="7"/>
        <v>0.7430440000000007</v>
      </c>
    </row>
    <row r="13" spans="1:33">
      <c r="A13" s="38" t="s">
        <v>213</v>
      </c>
      <c r="B13" s="15" t="s">
        <v>82</v>
      </c>
      <c r="C13" s="15" t="s">
        <v>46</v>
      </c>
      <c r="D13" s="3" t="s">
        <v>22</v>
      </c>
      <c r="E13" s="3" t="s">
        <v>54</v>
      </c>
      <c r="F13" s="1" t="s">
        <v>63</v>
      </c>
      <c r="G13" s="20">
        <v>-2.5150000000000001</v>
      </c>
      <c r="H13" s="20">
        <v>0.13100000000000001</v>
      </c>
      <c r="I13" s="20">
        <v>-2.371</v>
      </c>
      <c r="J13" s="20">
        <v>0.10299999999999999</v>
      </c>
      <c r="K13" s="20">
        <f t="shared" si="0"/>
        <v>-0.14400000000000013</v>
      </c>
      <c r="L13" s="20">
        <f t="shared" si="1"/>
        <v>0.1666433316997713</v>
      </c>
      <c r="M13" s="20">
        <f t="shared" si="2"/>
        <v>2.7770000000000003E-2</v>
      </c>
      <c r="N13" s="8">
        <v>0.52</v>
      </c>
      <c r="O13" s="20">
        <f t="shared" si="3"/>
        <v>0.44089600000000018</v>
      </c>
      <c r="S13" s="38" t="s">
        <v>213</v>
      </c>
      <c r="T13" s="15" t="s">
        <v>82</v>
      </c>
      <c r="U13" s="15" t="s">
        <v>46</v>
      </c>
      <c r="V13" s="3" t="s">
        <v>22</v>
      </c>
      <c r="W13" s="3" t="s">
        <v>54</v>
      </c>
      <c r="X13" s="1" t="s">
        <v>63</v>
      </c>
      <c r="Y13" s="20">
        <v>-2.5150000000000001</v>
      </c>
      <c r="Z13" s="20">
        <v>0.13100000000000001</v>
      </c>
      <c r="AA13" s="20">
        <v>-2.371</v>
      </c>
      <c r="AB13" s="20">
        <v>0.10299999999999999</v>
      </c>
      <c r="AC13" s="20">
        <f t="shared" si="4"/>
        <v>-0.14400000000000013</v>
      </c>
      <c r="AD13" s="20">
        <f t="shared" si="5"/>
        <v>0.1666433316997713</v>
      </c>
      <c r="AE13" s="20">
        <f t="shared" si="6"/>
        <v>2.7770000000000003E-2</v>
      </c>
      <c r="AF13" s="8">
        <v>0.52</v>
      </c>
      <c r="AG13" s="20">
        <f t="shared" si="7"/>
        <v>0.44089600000000018</v>
      </c>
    </row>
    <row r="14" spans="1:33">
      <c r="A14" s="38" t="s">
        <v>213</v>
      </c>
      <c r="B14" s="15" t="s">
        <v>82</v>
      </c>
      <c r="C14" s="15" t="s">
        <v>46</v>
      </c>
      <c r="D14" s="3" t="s">
        <v>23</v>
      </c>
      <c r="E14" s="3" t="s">
        <v>55</v>
      </c>
      <c r="F14" s="1" t="s">
        <v>64</v>
      </c>
      <c r="G14" s="20">
        <v>-4.2750000000000004</v>
      </c>
      <c r="H14" s="20">
        <v>0.29199999999999998</v>
      </c>
      <c r="I14" s="20">
        <v>-4.6749999999999998</v>
      </c>
      <c r="J14" s="20">
        <v>0.09</v>
      </c>
      <c r="K14" s="20">
        <f t="shared" si="0"/>
        <v>0.39999999999999947</v>
      </c>
      <c r="L14" s="20">
        <f t="shared" si="1"/>
        <v>0.30555523232306137</v>
      </c>
      <c r="M14" s="20">
        <f t="shared" si="2"/>
        <v>9.3364000000000003E-2</v>
      </c>
      <c r="N14" s="8">
        <v>1.08</v>
      </c>
      <c r="O14" s="20">
        <f t="shared" si="3"/>
        <v>0.46240000000000081</v>
      </c>
      <c r="S14" s="38" t="s">
        <v>213</v>
      </c>
      <c r="T14" s="15" t="s">
        <v>82</v>
      </c>
      <c r="U14" s="15" t="s">
        <v>46</v>
      </c>
      <c r="V14" s="3" t="s">
        <v>23</v>
      </c>
      <c r="W14" s="3" t="s">
        <v>55</v>
      </c>
      <c r="X14" s="1" t="s">
        <v>64</v>
      </c>
      <c r="Y14" s="20">
        <v>-4.2750000000000004</v>
      </c>
      <c r="Z14" s="20">
        <v>0.29199999999999998</v>
      </c>
      <c r="AA14" s="20">
        <v>-4.6749999999999998</v>
      </c>
      <c r="AB14" s="20">
        <v>0.09</v>
      </c>
      <c r="AC14" s="20">
        <f t="shared" si="4"/>
        <v>0.39999999999999947</v>
      </c>
      <c r="AD14" s="20">
        <f t="shared" si="5"/>
        <v>0.30555523232306137</v>
      </c>
      <c r="AE14" s="20">
        <f t="shared" si="6"/>
        <v>9.3364000000000003E-2</v>
      </c>
      <c r="AF14" s="8">
        <v>1.08</v>
      </c>
      <c r="AG14" s="20">
        <f t="shared" si="7"/>
        <v>0.46240000000000081</v>
      </c>
    </row>
    <row r="15" spans="1:33">
      <c r="A15" s="38" t="s">
        <v>213</v>
      </c>
      <c r="B15" s="15" t="s">
        <v>101</v>
      </c>
      <c r="C15" s="15" t="s">
        <v>46</v>
      </c>
      <c r="D15" s="4" t="s">
        <v>24</v>
      </c>
      <c r="E15" s="3" t="s">
        <v>86</v>
      </c>
      <c r="F15" s="1" t="s">
        <v>92</v>
      </c>
      <c r="G15" s="20">
        <v>-8.4879999999999995</v>
      </c>
      <c r="H15" s="20">
        <v>0.107</v>
      </c>
      <c r="I15" s="20">
        <v>-9.1780000000000008</v>
      </c>
      <c r="J15" s="20">
        <v>0.22900000000000001</v>
      </c>
      <c r="K15" s="20">
        <f t="shared" si="0"/>
        <v>0.69000000000000128</v>
      </c>
      <c r="L15" s="20">
        <f t="shared" si="1"/>
        <v>0.25276471272707352</v>
      </c>
      <c r="M15" s="20">
        <f t="shared" si="2"/>
        <v>6.3890000000000002E-2</v>
      </c>
      <c r="N15" s="8">
        <v>1.42</v>
      </c>
      <c r="O15" s="20">
        <f t="shared" si="3"/>
        <v>0.53289999999999804</v>
      </c>
      <c r="S15" s="38" t="s">
        <v>213</v>
      </c>
      <c r="T15" s="15" t="s">
        <v>82</v>
      </c>
      <c r="U15" s="15" t="s">
        <v>46</v>
      </c>
      <c r="V15" s="8" t="s">
        <v>27</v>
      </c>
      <c r="W15" s="9" t="s">
        <v>28</v>
      </c>
      <c r="X15" s="1" t="s">
        <v>65</v>
      </c>
      <c r="Y15" s="20">
        <v>-8.1370000000000005</v>
      </c>
      <c r="Z15" s="20">
        <v>0.107</v>
      </c>
      <c r="AA15" s="20">
        <v>-8.5500000000000007</v>
      </c>
      <c r="AB15" s="20">
        <v>9.1923879999999999E-2</v>
      </c>
      <c r="AC15" s="20">
        <f t="shared" si="4"/>
        <v>0.41300000000000026</v>
      </c>
      <c r="AD15" s="20">
        <f t="shared" si="5"/>
        <v>0.14106381433328108</v>
      </c>
      <c r="AE15" s="20">
        <f t="shared" si="6"/>
        <v>1.9898999714254396E-2</v>
      </c>
      <c r="AF15" s="9">
        <v>-0.21</v>
      </c>
      <c r="AG15" s="20">
        <f t="shared" si="7"/>
        <v>0.38812900000000028</v>
      </c>
    </row>
    <row r="16" spans="1:33">
      <c r="A16" s="38" t="s">
        <v>213</v>
      </c>
      <c r="B16" s="15" t="s">
        <v>82</v>
      </c>
      <c r="C16" s="15" t="s">
        <v>46</v>
      </c>
      <c r="D16" s="8" t="s">
        <v>27</v>
      </c>
      <c r="E16" s="9" t="s">
        <v>28</v>
      </c>
      <c r="F16" s="1" t="s">
        <v>65</v>
      </c>
      <c r="G16" s="20">
        <v>-8.1370000000000005</v>
      </c>
      <c r="H16" s="20">
        <v>0.107</v>
      </c>
      <c r="I16" s="20">
        <v>-8.5500000000000007</v>
      </c>
      <c r="J16" s="20">
        <v>9.1923879999999999E-2</v>
      </c>
      <c r="K16" s="20">
        <f t="shared" si="0"/>
        <v>0.41300000000000026</v>
      </c>
      <c r="L16" s="20">
        <f t="shared" si="1"/>
        <v>0.14106381433328108</v>
      </c>
      <c r="M16" s="20">
        <f t="shared" si="2"/>
        <v>1.9898999714254396E-2</v>
      </c>
      <c r="N16" s="9">
        <v>-0.21</v>
      </c>
      <c r="O16" s="20">
        <f t="shared" si="3"/>
        <v>0.38812900000000028</v>
      </c>
      <c r="S16" s="38" t="s">
        <v>213</v>
      </c>
      <c r="T16" s="15" t="s">
        <v>82</v>
      </c>
      <c r="U16" s="15" t="s">
        <v>46</v>
      </c>
      <c r="V16" s="3" t="s">
        <v>25</v>
      </c>
      <c r="W16" s="3" t="s">
        <v>87</v>
      </c>
      <c r="X16" s="1" t="s">
        <v>93</v>
      </c>
      <c r="Y16" s="20">
        <v>71.343999999999994</v>
      </c>
      <c r="Z16" s="20">
        <v>0.19900000000000001</v>
      </c>
      <c r="AA16" s="20">
        <v>69.974999999999994</v>
      </c>
      <c r="AB16" s="20">
        <v>0.26800000000000002</v>
      </c>
      <c r="AC16" s="20">
        <f t="shared" si="4"/>
        <v>1.3689999999999998</v>
      </c>
      <c r="AD16" s="20">
        <f t="shared" si="5"/>
        <v>0.33380383460949042</v>
      </c>
      <c r="AE16" s="20">
        <f t="shared" si="6"/>
        <v>0.11142500000000004</v>
      </c>
      <c r="AF16" s="8">
        <v>1.1100000000000001</v>
      </c>
      <c r="AG16" s="20">
        <f t="shared" si="7"/>
        <v>6.7080999999999835E-2</v>
      </c>
    </row>
    <row r="17" spans="1:33">
      <c r="A17" s="38" t="s">
        <v>213</v>
      </c>
      <c r="B17" s="15" t="s">
        <v>82</v>
      </c>
      <c r="C17" s="15" t="s">
        <v>46</v>
      </c>
      <c r="D17" s="3" t="s">
        <v>25</v>
      </c>
      <c r="E17" s="3" t="s">
        <v>87</v>
      </c>
      <c r="F17" s="1" t="s">
        <v>93</v>
      </c>
      <c r="G17" s="20">
        <v>71.343999999999994</v>
      </c>
      <c r="H17" s="20">
        <v>0.19900000000000001</v>
      </c>
      <c r="I17" s="20">
        <v>69.974999999999994</v>
      </c>
      <c r="J17" s="20">
        <v>0.26800000000000002</v>
      </c>
      <c r="K17" s="20">
        <f t="shared" si="0"/>
        <v>1.3689999999999998</v>
      </c>
      <c r="L17" s="20">
        <f t="shared" si="1"/>
        <v>0.33380383460949042</v>
      </c>
      <c r="M17" s="20">
        <f t="shared" si="2"/>
        <v>0.11142500000000004</v>
      </c>
      <c r="N17" s="8">
        <v>1.1100000000000001</v>
      </c>
      <c r="O17" s="20">
        <f t="shared" si="3"/>
        <v>6.7080999999999835E-2</v>
      </c>
      <c r="S17" s="38" t="s">
        <v>213</v>
      </c>
      <c r="T17" s="15" t="s">
        <v>101</v>
      </c>
      <c r="U17" s="15" t="s">
        <v>46</v>
      </c>
      <c r="V17" s="3" t="s">
        <v>26</v>
      </c>
      <c r="W17" s="3" t="s">
        <v>88</v>
      </c>
      <c r="X17" s="1" t="s">
        <v>94</v>
      </c>
      <c r="Y17" s="20">
        <v>-35.639000000000003</v>
      </c>
      <c r="Z17" s="20">
        <v>0.38500000000000001</v>
      </c>
      <c r="AA17" s="20">
        <v>-40.424999999999997</v>
      </c>
      <c r="AB17" s="20">
        <v>0.127</v>
      </c>
      <c r="AC17" s="20">
        <f t="shared" si="4"/>
        <v>4.7859999999999943</v>
      </c>
      <c r="AD17" s="20">
        <f t="shared" si="5"/>
        <v>0.4054059693689771</v>
      </c>
      <c r="AE17" s="20">
        <f t="shared" si="6"/>
        <v>0.164354</v>
      </c>
      <c r="AF17" s="8">
        <v>4.45</v>
      </c>
      <c r="AG17" s="20">
        <f t="shared" si="7"/>
        <v>0.11289599999999603</v>
      </c>
    </row>
    <row r="18" spans="1:33">
      <c r="A18" s="38" t="s">
        <v>213</v>
      </c>
      <c r="B18" s="15" t="s">
        <v>101</v>
      </c>
      <c r="C18" s="15" t="s">
        <v>46</v>
      </c>
      <c r="D18" s="3" t="s">
        <v>26</v>
      </c>
      <c r="E18" s="3" t="s">
        <v>88</v>
      </c>
      <c r="F18" s="1" t="s">
        <v>94</v>
      </c>
      <c r="G18" s="20">
        <v>-35.639000000000003</v>
      </c>
      <c r="H18" s="20">
        <v>0.38500000000000001</v>
      </c>
      <c r="I18" s="20">
        <v>-40.424999999999997</v>
      </c>
      <c r="J18" s="20">
        <v>0.127</v>
      </c>
      <c r="K18" s="20">
        <f t="shared" si="0"/>
        <v>4.7859999999999943</v>
      </c>
      <c r="L18" s="20">
        <f t="shared" si="1"/>
        <v>0.4054059693689771</v>
      </c>
      <c r="M18" s="20">
        <f t="shared" si="2"/>
        <v>0.164354</v>
      </c>
      <c r="N18" s="8">
        <v>4.45</v>
      </c>
      <c r="O18" s="20">
        <f t="shared" si="3"/>
        <v>0.11289599999999603</v>
      </c>
      <c r="S18" s="38" t="s">
        <v>213</v>
      </c>
      <c r="T18" s="15" t="s">
        <v>82</v>
      </c>
      <c r="U18" s="1" t="s">
        <v>70</v>
      </c>
      <c r="V18" s="3" t="s">
        <v>4</v>
      </c>
      <c r="W18" s="3" t="s">
        <v>71</v>
      </c>
      <c r="X18" s="1" t="s">
        <v>75</v>
      </c>
      <c r="Y18" s="20">
        <v>46.597000000000001</v>
      </c>
      <c r="Z18" s="20">
        <v>0.13800000000000001</v>
      </c>
      <c r="AA18" s="20">
        <v>46.381</v>
      </c>
      <c r="AB18" s="20">
        <v>7.5999999999999998E-2</v>
      </c>
      <c r="AC18" s="20">
        <f t="shared" si="4"/>
        <v>0.21600000000000108</v>
      </c>
      <c r="AD18" s="20">
        <f t="shared" si="5"/>
        <v>0.15754364474646385</v>
      </c>
      <c r="AE18" s="20">
        <f t="shared" si="6"/>
        <v>2.4820000000000005E-2</v>
      </c>
      <c r="AF18" s="8">
        <v>-0.24</v>
      </c>
      <c r="AG18" s="20">
        <f t="shared" si="7"/>
        <v>0.20793600000000098</v>
      </c>
    </row>
    <row r="19" spans="1:33">
      <c r="A19" s="38" t="s">
        <v>213</v>
      </c>
      <c r="B19" s="15" t="s">
        <v>82</v>
      </c>
      <c r="C19" s="1" t="s">
        <v>70</v>
      </c>
      <c r="D19" s="3" t="s">
        <v>4</v>
      </c>
      <c r="E19" s="3" t="s">
        <v>71</v>
      </c>
      <c r="F19" s="1" t="s">
        <v>75</v>
      </c>
      <c r="G19" s="20">
        <v>46.597000000000001</v>
      </c>
      <c r="H19" s="20">
        <v>0.13800000000000001</v>
      </c>
      <c r="I19" s="20">
        <v>46.381</v>
      </c>
      <c r="J19" s="20">
        <v>7.5999999999999998E-2</v>
      </c>
      <c r="K19" s="20">
        <f t="shared" si="0"/>
        <v>0.21600000000000108</v>
      </c>
      <c r="L19" s="20">
        <f t="shared" si="1"/>
        <v>0.15754364474646385</v>
      </c>
      <c r="M19" s="20">
        <f t="shared" si="2"/>
        <v>2.4820000000000005E-2</v>
      </c>
      <c r="N19" s="8">
        <v>-0.24</v>
      </c>
      <c r="O19" s="20">
        <f t="shared" si="3"/>
        <v>0.20793600000000098</v>
      </c>
      <c r="S19" s="38" t="s">
        <v>213</v>
      </c>
      <c r="T19" s="15" t="s">
        <v>82</v>
      </c>
      <c r="U19" s="1" t="s">
        <v>70</v>
      </c>
      <c r="V19" s="3" t="s">
        <v>12</v>
      </c>
      <c r="W19" s="3" t="s">
        <v>104</v>
      </c>
      <c r="X19" s="1" t="s">
        <v>106</v>
      </c>
      <c r="Y19" s="20">
        <v>-23.72</v>
      </c>
      <c r="Z19" s="20">
        <v>0.11700000000000001</v>
      </c>
      <c r="AA19" s="20">
        <v>-23.588999999999999</v>
      </c>
      <c r="AB19" s="20">
        <v>0.14099999999999999</v>
      </c>
      <c r="AC19" s="20">
        <f t="shared" si="4"/>
        <v>-0.13100000000000023</v>
      </c>
      <c r="AD19" s="20">
        <f t="shared" si="5"/>
        <v>0.18322117781522965</v>
      </c>
      <c r="AE19" s="20">
        <f t="shared" si="6"/>
        <v>3.3570000000000003E-2</v>
      </c>
      <c r="AF19" s="8">
        <v>0.85</v>
      </c>
      <c r="AG19" s="20">
        <f t="shared" si="7"/>
        <v>0.96236100000000036</v>
      </c>
    </row>
    <row r="20" spans="1:33">
      <c r="A20" s="38" t="s">
        <v>213</v>
      </c>
      <c r="B20" s="15" t="s">
        <v>101</v>
      </c>
      <c r="C20" s="1" t="s">
        <v>70</v>
      </c>
      <c r="D20" s="6" t="s">
        <v>6</v>
      </c>
      <c r="E20" s="3" t="s">
        <v>72</v>
      </c>
      <c r="F20" s="1" t="s">
        <v>76</v>
      </c>
      <c r="G20" s="20">
        <v>-8.8770000000000007</v>
      </c>
      <c r="H20" s="20">
        <v>2.9000000000000001E-2</v>
      </c>
      <c r="I20" s="20">
        <v>-8.4480000000000004</v>
      </c>
      <c r="J20" s="20">
        <v>0.115</v>
      </c>
      <c r="K20" s="20">
        <f t="shared" si="0"/>
        <v>-0.42900000000000027</v>
      </c>
      <c r="L20" s="20">
        <f t="shared" si="1"/>
        <v>0.11860016863394419</v>
      </c>
      <c r="M20" s="20">
        <f t="shared" si="2"/>
        <v>1.4066E-2</v>
      </c>
      <c r="N20" s="8">
        <v>0.97</v>
      </c>
      <c r="O20" s="20">
        <f t="shared" si="3"/>
        <v>1.9572010000000006</v>
      </c>
      <c r="S20" s="38" t="s">
        <v>213</v>
      </c>
      <c r="T20" s="15" t="s">
        <v>82</v>
      </c>
      <c r="U20" s="1" t="s">
        <v>70</v>
      </c>
      <c r="V20" s="3" t="s">
        <v>14</v>
      </c>
      <c r="W20" s="3" t="s">
        <v>74</v>
      </c>
      <c r="X20" s="1" t="s">
        <v>78</v>
      </c>
      <c r="Y20" s="20">
        <v>-11.115</v>
      </c>
      <c r="Z20" s="20">
        <v>0.28299999999999997</v>
      </c>
      <c r="AA20" s="20">
        <v>-10.105</v>
      </c>
      <c r="AB20" s="20">
        <v>0.123</v>
      </c>
      <c r="AC20" s="20">
        <f t="shared" si="4"/>
        <v>-1.0099999999999998</v>
      </c>
      <c r="AD20" s="20">
        <f t="shared" si="5"/>
        <v>0.30857414019972573</v>
      </c>
      <c r="AE20" s="20">
        <f t="shared" si="6"/>
        <v>9.5217999999999997E-2</v>
      </c>
      <c r="AF20" s="8">
        <v>-0.78</v>
      </c>
      <c r="AG20" s="20">
        <f t="shared" si="7"/>
        <v>5.2899999999999892E-2</v>
      </c>
    </row>
    <row r="21" spans="1:33">
      <c r="A21" s="38" t="s">
        <v>213</v>
      </c>
      <c r="B21" s="15" t="s">
        <v>101</v>
      </c>
      <c r="C21" s="1" t="s">
        <v>70</v>
      </c>
      <c r="D21" s="6" t="s">
        <v>8</v>
      </c>
      <c r="E21" s="3" t="s">
        <v>73</v>
      </c>
      <c r="F21" s="1" t="s">
        <v>77</v>
      </c>
      <c r="G21" s="20">
        <v>-8.3810000000000002</v>
      </c>
      <c r="H21" s="20">
        <v>6.2E-2</v>
      </c>
      <c r="I21" s="20">
        <v>-8.2289999999999992</v>
      </c>
      <c r="J21" s="20">
        <v>7.2999999999999995E-2</v>
      </c>
      <c r="K21" s="20">
        <f t="shared" si="0"/>
        <v>-0.15200000000000102</v>
      </c>
      <c r="L21" s="20">
        <f t="shared" si="1"/>
        <v>9.5775779819325918E-2</v>
      </c>
      <c r="M21" s="20">
        <f t="shared" si="2"/>
        <v>9.1729999999999971E-3</v>
      </c>
      <c r="N21" s="8">
        <v>-0.15</v>
      </c>
      <c r="O21" s="20">
        <f t="shared" si="3"/>
        <v>4.0000000000041147E-6</v>
      </c>
      <c r="S21" s="38" t="s">
        <v>214</v>
      </c>
      <c r="T21" s="26" t="s">
        <v>101</v>
      </c>
      <c r="U21" s="26" t="s">
        <v>46</v>
      </c>
      <c r="V21" s="16" t="s">
        <v>11</v>
      </c>
      <c r="W21" s="3" t="s">
        <v>84</v>
      </c>
      <c r="X21" s="1" t="s">
        <v>90</v>
      </c>
      <c r="Y21" s="20">
        <v>-40.853999999999999</v>
      </c>
      <c r="Z21" s="20">
        <v>0.308</v>
      </c>
      <c r="AA21" s="20">
        <v>-42.293999999999997</v>
      </c>
      <c r="AB21" s="20">
        <v>9.8000000000000004E-2</v>
      </c>
      <c r="AC21" s="20">
        <f t="shared" si="4"/>
        <v>1.4399999999999977</v>
      </c>
      <c r="AD21" s="20">
        <f t="shared" si="5"/>
        <v>0.32321509865722547</v>
      </c>
      <c r="AE21" s="20">
        <f t="shared" si="6"/>
        <v>0.10446799999999999</v>
      </c>
      <c r="AF21" s="9">
        <v>1.33</v>
      </c>
      <c r="AG21" s="20">
        <f t="shared" si="7"/>
        <v>1.2099999999999484E-2</v>
      </c>
    </row>
    <row r="22" spans="1:33">
      <c r="A22" s="38" t="s">
        <v>213</v>
      </c>
      <c r="B22" s="15" t="s">
        <v>101</v>
      </c>
      <c r="C22" s="1" t="s">
        <v>70</v>
      </c>
      <c r="D22" s="6" t="s">
        <v>10</v>
      </c>
      <c r="E22" s="3" t="s">
        <v>103</v>
      </c>
      <c r="F22" s="1" t="s">
        <v>105</v>
      </c>
      <c r="G22" s="20">
        <v>-5.702</v>
      </c>
      <c r="H22" s="20">
        <v>0.24099999999999999</v>
      </c>
      <c r="I22" s="20">
        <v>-7.9630000000000001</v>
      </c>
      <c r="J22" s="20">
        <v>9.6000000000000002E-2</v>
      </c>
      <c r="K22" s="20">
        <f t="shared" si="0"/>
        <v>2.2610000000000001</v>
      </c>
      <c r="L22" s="20">
        <f t="shared" si="1"/>
        <v>0.25941665328193564</v>
      </c>
      <c r="M22" s="20">
        <f t="shared" si="2"/>
        <v>6.729700000000001E-2</v>
      </c>
      <c r="N22" s="8">
        <v>2.0099999999999998</v>
      </c>
      <c r="O22" s="20">
        <f t="shared" si="3"/>
        <v>6.3001000000000168E-2</v>
      </c>
      <c r="S22" s="38" t="s">
        <v>214</v>
      </c>
      <c r="T22" s="26" t="s">
        <v>82</v>
      </c>
      <c r="U22" s="26" t="s">
        <v>46</v>
      </c>
      <c r="V22" s="16" t="s">
        <v>121</v>
      </c>
      <c r="W22" s="3" t="s">
        <v>122</v>
      </c>
      <c r="X22" s="1" t="s">
        <v>140</v>
      </c>
      <c r="Y22" s="20">
        <v>5.5069999999999997</v>
      </c>
      <c r="Z22" s="20">
        <v>0.38500000000000001</v>
      </c>
      <c r="AA22" s="20">
        <v>6.383</v>
      </c>
      <c r="AB22" s="20">
        <v>0.16400000000000001</v>
      </c>
      <c r="AC22" s="20">
        <f t="shared" si="4"/>
        <v>-0.87600000000000033</v>
      </c>
      <c r="AD22" s="20">
        <f t="shared" si="5"/>
        <v>0.41847461093834593</v>
      </c>
      <c r="AE22" s="20">
        <f t="shared" si="6"/>
        <v>0.175121</v>
      </c>
      <c r="AF22" s="9">
        <v>0.05</v>
      </c>
      <c r="AG22" s="20">
        <f t="shared" si="7"/>
        <v>0.85747600000000068</v>
      </c>
    </row>
    <row r="23" spans="1:33">
      <c r="A23" s="38" t="s">
        <v>213</v>
      </c>
      <c r="B23" s="15" t="s">
        <v>82</v>
      </c>
      <c r="C23" s="1" t="s">
        <v>70</v>
      </c>
      <c r="D23" s="3" t="s">
        <v>12</v>
      </c>
      <c r="E23" s="3" t="s">
        <v>104</v>
      </c>
      <c r="F23" s="1" t="s">
        <v>106</v>
      </c>
      <c r="G23" s="20">
        <v>-23.72</v>
      </c>
      <c r="H23" s="20">
        <v>0.11700000000000001</v>
      </c>
      <c r="I23" s="20">
        <v>-23.588999999999999</v>
      </c>
      <c r="J23" s="20">
        <v>0.14099999999999999</v>
      </c>
      <c r="K23" s="20">
        <f t="shared" si="0"/>
        <v>-0.13100000000000023</v>
      </c>
      <c r="L23" s="20">
        <f t="shared" si="1"/>
        <v>0.18322117781522965</v>
      </c>
      <c r="M23" s="20">
        <f t="shared" si="2"/>
        <v>3.3570000000000003E-2</v>
      </c>
      <c r="N23" s="8">
        <v>0.85</v>
      </c>
      <c r="O23" s="20">
        <f t="shared" si="3"/>
        <v>0.96236100000000036</v>
      </c>
      <c r="S23" s="38" t="s">
        <v>214</v>
      </c>
      <c r="T23" s="26" t="s">
        <v>101</v>
      </c>
      <c r="U23" s="26" t="s">
        <v>46</v>
      </c>
      <c r="V23" s="16" t="s">
        <v>124</v>
      </c>
      <c r="W23" s="3" t="s">
        <v>125</v>
      </c>
      <c r="X23" s="1" t="s">
        <v>58</v>
      </c>
      <c r="Y23" s="20">
        <v>-39.872999999999998</v>
      </c>
      <c r="Z23" s="20">
        <v>0.33900000000000002</v>
      </c>
      <c r="AA23" s="20">
        <v>-42.363</v>
      </c>
      <c r="AB23" s="20">
        <v>4.7E-2</v>
      </c>
      <c r="AC23" s="20">
        <f t="shared" si="4"/>
        <v>2.490000000000002</v>
      </c>
      <c r="AD23" s="20">
        <f t="shared" si="5"/>
        <v>0.34224260401066375</v>
      </c>
      <c r="AE23" s="20">
        <f t="shared" si="6"/>
        <v>0.11713</v>
      </c>
      <c r="AF23" s="9">
        <v>0.76</v>
      </c>
      <c r="AG23" s="20">
        <f t="shared" si="7"/>
        <v>2.9929000000000068</v>
      </c>
    </row>
    <row r="24" spans="1:33">
      <c r="A24" s="38" t="s">
        <v>213</v>
      </c>
      <c r="B24" s="15" t="s">
        <v>82</v>
      </c>
      <c r="C24" s="1" t="s">
        <v>70</v>
      </c>
      <c r="D24" s="3" t="s">
        <v>14</v>
      </c>
      <c r="E24" s="3" t="s">
        <v>74</v>
      </c>
      <c r="F24" s="1" t="s">
        <v>78</v>
      </c>
      <c r="G24" s="20">
        <v>-11.115</v>
      </c>
      <c r="H24" s="20">
        <v>0.28299999999999997</v>
      </c>
      <c r="I24" s="20">
        <v>-10.105</v>
      </c>
      <c r="J24" s="20">
        <v>0.123</v>
      </c>
      <c r="K24" s="20">
        <f t="shared" si="0"/>
        <v>-1.0099999999999998</v>
      </c>
      <c r="L24" s="20">
        <f t="shared" si="1"/>
        <v>0.30857414019972573</v>
      </c>
      <c r="M24" s="20">
        <f t="shared" si="2"/>
        <v>9.5217999999999997E-2</v>
      </c>
      <c r="N24" s="8">
        <v>-0.78</v>
      </c>
      <c r="O24" s="20">
        <f t="shared" si="3"/>
        <v>5.2899999999999892E-2</v>
      </c>
      <c r="S24" s="38" t="s">
        <v>214</v>
      </c>
      <c r="T24" s="26" t="s">
        <v>82</v>
      </c>
      <c r="U24" s="26" t="s">
        <v>46</v>
      </c>
      <c r="V24" s="16" t="s">
        <v>126</v>
      </c>
      <c r="W24" s="3" t="s">
        <v>50</v>
      </c>
      <c r="X24" s="1" t="s">
        <v>59</v>
      </c>
      <c r="Y24" s="20">
        <v>15.722</v>
      </c>
      <c r="Z24" s="20">
        <v>0.17100000000000001</v>
      </c>
      <c r="AA24" s="20">
        <v>13.2</v>
      </c>
      <c r="AB24" s="20">
        <v>0.107</v>
      </c>
      <c r="AC24" s="20">
        <f t="shared" si="4"/>
        <v>2.5220000000000002</v>
      </c>
      <c r="AD24" s="20">
        <f t="shared" si="5"/>
        <v>0.20171762441591465</v>
      </c>
      <c r="AE24" s="20">
        <f t="shared" si="6"/>
        <v>4.0690000000000004E-2</v>
      </c>
      <c r="AF24" s="9">
        <v>0.35</v>
      </c>
      <c r="AG24" s="20">
        <f t="shared" si="7"/>
        <v>4.7175840000000004</v>
      </c>
    </row>
    <row r="25" spans="1:33">
      <c r="A25" s="38" t="s">
        <v>214</v>
      </c>
      <c r="B25" s="26" t="s">
        <v>101</v>
      </c>
      <c r="C25" s="26" t="s">
        <v>46</v>
      </c>
      <c r="D25" s="25" t="s">
        <v>9</v>
      </c>
      <c r="E25" s="3" t="s">
        <v>83</v>
      </c>
      <c r="F25" s="1" t="s">
        <v>89</v>
      </c>
      <c r="G25" s="20">
        <v>-32.768000000000001</v>
      </c>
      <c r="H25" s="20">
        <v>0.253</v>
      </c>
      <c r="I25" s="20">
        <v>-37.600999999999999</v>
      </c>
      <c r="J25" s="20">
        <v>0.17</v>
      </c>
      <c r="K25" s="20">
        <f>G25-I25</f>
        <v>4.8329999999999984</v>
      </c>
      <c r="L25" s="20">
        <f>SQRT((H25)^2 + (J25)^2)</f>
        <v>0.304809776746088</v>
      </c>
      <c r="M25" s="20">
        <f>L25^2</f>
        <v>9.2909000000000005E-2</v>
      </c>
      <c r="N25" s="9">
        <v>1.48</v>
      </c>
      <c r="O25" s="20">
        <f>(K25-N25)^2</f>
        <v>11.242608999999989</v>
      </c>
      <c r="S25" s="38" t="s">
        <v>214</v>
      </c>
      <c r="T25" s="26" t="s">
        <v>82</v>
      </c>
      <c r="U25" s="26" t="s">
        <v>46</v>
      </c>
      <c r="V25" s="16" t="s">
        <v>127</v>
      </c>
      <c r="W25" s="3" t="s">
        <v>51</v>
      </c>
      <c r="X25" s="1" t="s">
        <v>60</v>
      </c>
      <c r="Y25" s="20">
        <v>-5.3150000000000004</v>
      </c>
      <c r="Z25" s="20">
        <v>0.23</v>
      </c>
      <c r="AA25" s="20">
        <v>-5.7530000000000001</v>
      </c>
      <c r="AB25" s="20">
        <v>7.6999999999999999E-2</v>
      </c>
      <c r="AC25" s="20">
        <f t="shared" si="4"/>
        <v>0.43799999999999972</v>
      </c>
      <c r="AD25" s="20">
        <f t="shared" si="5"/>
        <v>0.24254690268069803</v>
      </c>
      <c r="AE25" s="20">
        <f t="shared" si="6"/>
        <v>5.8829000000000006E-2</v>
      </c>
      <c r="AF25" s="9">
        <v>1.25</v>
      </c>
      <c r="AG25" s="20">
        <f t="shared" si="7"/>
        <v>0.65934400000000049</v>
      </c>
    </row>
    <row r="26" spans="1:33">
      <c r="A26" s="38" t="s">
        <v>214</v>
      </c>
      <c r="B26" s="26" t="s">
        <v>101</v>
      </c>
      <c r="C26" s="26" t="s">
        <v>46</v>
      </c>
      <c r="D26" s="16" t="s">
        <v>11</v>
      </c>
      <c r="E26" s="3" t="s">
        <v>84</v>
      </c>
      <c r="F26" s="1" t="s">
        <v>90</v>
      </c>
      <c r="G26" s="20">
        <v>-40.853999999999999</v>
      </c>
      <c r="H26" s="20">
        <v>0.308</v>
      </c>
      <c r="I26" s="20">
        <v>-42.293999999999997</v>
      </c>
      <c r="J26" s="20">
        <v>9.8000000000000004E-2</v>
      </c>
      <c r="K26" s="20">
        <f t="shared" ref="K26:K37" si="8">G26-I26</f>
        <v>1.4399999999999977</v>
      </c>
      <c r="L26" s="20">
        <f t="shared" ref="L26:L37" si="9">SQRT((H26)^2 + (J26)^2)</f>
        <v>0.32321509865722547</v>
      </c>
      <c r="M26" s="20">
        <f t="shared" ref="M26:M37" si="10">L26^2</f>
        <v>0.10446799999999999</v>
      </c>
      <c r="N26" s="9">
        <v>1.33</v>
      </c>
      <c r="O26" s="20">
        <f t="shared" ref="O26:O37" si="11">(K26-N26)^2</f>
        <v>1.2099999999999484E-2</v>
      </c>
      <c r="S26" s="38" t="s">
        <v>214</v>
      </c>
      <c r="T26" s="26" t="s">
        <v>82</v>
      </c>
      <c r="U26" s="26" t="s">
        <v>46</v>
      </c>
      <c r="V26" s="16" t="s">
        <v>128</v>
      </c>
      <c r="W26" s="3" t="s">
        <v>129</v>
      </c>
      <c r="X26" s="1" t="s">
        <v>61</v>
      </c>
      <c r="Y26" s="20">
        <v>-5.4610000000000003</v>
      </c>
      <c r="Z26" s="20">
        <v>6.9000000000000006E-2</v>
      </c>
      <c r="AA26" s="20">
        <v>-6.91</v>
      </c>
      <c r="AB26" s="20">
        <v>4.4999999999999998E-2</v>
      </c>
      <c r="AC26" s="20">
        <f t="shared" si="4"/>
        <v>1.4489999999999998</v>
      </c>
      <c r="AD26" s="20">
        <f t="shared" si="5"/>
        <v>8.2377181306475894E-2</v>
      </c>
      <c r="AE26" s="20">
        <f t="shared" si="6"/>
        <v>6.7860000000000012E-3</v>
      </c>
      <c r="AF26" s="9">
        <v>1.1499999999999999</v>
      </c>
      <c r="AG26" s="20">
        <f t="shared" si="7"/>
        <v>8.9400999999999953E-2</v>
      </c>
    </row>
    <row r="27" spans="1:33">
      <c r="A27" s="38" t="s">
        <v>214</v>
      </c>
      <c r="B27" s="26" t="s">
        <v>82</v>
      </c>
      <c r="C27" s="26" t="s">
        <v>46</v>
      </c>
      <c r="D27" s="16" t="s">
        <v>121</v>
      </c>
      <c r="E27" s="3" t="s">
        <v>122</v>
      </c>
      <c r="F27" s="1" t="s">
        <v>140</v>
      </c>
      <c r="G27" s="20">
        <v>5.5069999999999997</v>
      </c>
      <c r="H27" s="20">
        <v>0.38500000000000001</v>
      </c>
      <c r="I27" s="20">
        <v>6.383</v>
      </c>
      <c r="J27" s="20">
        <v>0.16400000000000001</v>
      </c>
      <c r="K27" s="20">
        <f t="shared" si="8"/>
        <v>-0.87600000000000033</v>
      </c>
      <c r="L27" s="20">
        <f t="shared" si="9"/>
        <v>0.41847461093834593</v>
      </c>
      <c r="M27" s="20">
        <f t="shared" si="10"/>
        <v>0.175121</v>
      </c>
      <c r="N27" s="9">
        <v>0.05</v>
      </c>
      <c r="O27" s="20">
        <f t="shared" si="11"/>
        <v>0.85747600000000068</v>
      </c>
      <c r="S27" s="38" t="s">
        <v>214</v>
      </c>
      <c r="T27" s="26" t="s">
        <v>82</v>
      </c>
      <c r="U27" s="26" t="s">
        <v>46</v>
      </c>
      <c r="V27" s="16" t="s">
        <v>130</v>
      </c>
      <c r="W27" s="3" t="s">
        <v>85</v>
      </c>
      <c r="X27" s="1" t="s">
        <v>91</v>
      </c>
      <c r="Y27" s="20">
        <v>-5.7610000000000001</v>
      </c>
      <c r="Z27" s="20">
        <v>0.127</v>
      </c>
      <c r="AA27" s="20">
        <v>-5.8780000000000001</v>
      </c>
      <c r="AB27" s="20">
        <v>0.34499999999999997</v>
      </c>
      <c r="AC27" s="20">
        <f t="shared" si="4"/>
        <v>0.11699999999999999</v>
      </c>
      <c r="AD27" s="20">
        <f t="shared" si="5"/>
        <v>0.36763296914177862</v>
      </c>
      <c r="AE27" s="20">
        <f t="shared" si="6"/>
        <v>0.13515399999999994</v>
      </c>
      <c r="AF27" s="9">
        <v>0.86</v>
      </c>
      <c r="AG27" s="20">
        <f t="shared" si="7"/>
        <v>0.55204900000000001</v>
      </c>
    </row>
    <row r="28" spans="1:33">
      <c r="A28" s="38" t="s">
        <v>214</v>
      </c>
      <c r="B28" s="26" t="s">
        <v>101</v>
      </c>
      <c r="C28" s="26" t="s">
        <v>46</v>
      </c>
      <c r="D28" s="16" t="s">
        <v>124</v>
      </c>
      <c r="E28" s="3" t="s">
        <v>125</v>
      </c>
      <c r="F28" s="1" t="s">
        <v>58</v>
      </c>
      <c r="G28" s="20">
        <v>-39.872999999999998</v>
      </c>
      <c r="H28" s="20">
        <v>0.33900000000000002</v>
      </c>
      <c r="I28" s="20">
        <v>-42.363</v>
      </c>
      <c r="J28" s="20">
        <v>4.7E-2</v>
      </c>
      <c r="K28" s="20">
        <f t="shared" si="8"/>
        <v>2.490000000000002</v>
      </c>
      <c r="L28" s="20">
        <f t="shared" si="9"/>
        <v>0.34224260401066375</v>
      </c>
      <c r="M28" s="20">
        <f t="shared" si="10"/>
        <v>0.11713</v>
      </c>
      <c r="N28" s="9">
        <v>0.76</v>
      </c>
      <c r="O28" s="20">
        <f t="shared" si="11"/>
        <v>2.9929000000000068</v>
      </c>
      <c r="S28" s="38" t="s">
        <v>214</v>
      </c>
      <c r="T28" s="26" t="s">
        <v>82</v>
      </c>
      <c r="U28" s="26" t="s">
        <v>46</v>
      </c>
      <c r="V28" s="16" t="s">
        <v>131</v>
      </c>
      <c r="W28" s="3" t="s">
        <v>132</v>
      </c>
      <c r="X28" s="1" t="s">
        <v>141</v>
      </c>
      <c r="Y28" s="20">
        <v>47.466999999999999</v>
      </c>
      <c r="Z28" s="20">
        <v>9.4E-2</v>
      </c>
      <c r="AA28" s="20">
        <v>46.307000000000002</v>
      </c>
      <c r="AB28" s="20">
        <v>4.3999999999999997E-2</v>
      </c>
      <c r="AC28" s="20">
        <f t="shared" si="4"/>
        <v>1.1599999999999966</v>
      </c>
      <c r="AD28" s="20">
        <f t="shared" si="5"/>
        <v>0.10378824596263297</v>
      </c>
      <c r="AE28" s="20">
        <f t="shared" si="6"/>
        <v>1.0772E-2</v>
      </c>
      <c r="AF28" s="9">
        <v>1.1100000000000001</v>
      </c>
      <c r="AG28" s="20">
        <f t="shared" si="7"/>
        <v>2.4999999999996492E-3</v>
      </c>
    </row>
    <row r="29" spans="1:33">
      <c r="A29" s="38" t="s">
        <v>214</v>
      </c>
      <c r="B29" s="26" t="s">
        <v>82</v>
      </c>
      <c r="C29" s="26" t="s">
        <v>46</v>
      </c>
      <c r="D29" s="16" t="s">
        <v>126</v>
      </c>
      <c r="E29" s="3" t="s">
        <v>50</v>
      </c>
      <c r="F29" s="1" t="s">
        <v>59</v>
      </c>
      <c r="G29" s="20">
        <v>15.722</v>
      </c>
      <c r="H29" s="20">
        <v>0.17100000000000001</v>
      </c>
      <c r="I29" s="20">
        <v>13.2</v>
      </c>
      <c r="J29" s="20">
        <v>0.107</v>
      </c>
      <c r="K29" s="20">
        <f t="shared" si="8"/>
        <v>2.5220000000000002</v>
      </c>
      <c r="L29" s="20">
        <f t="shared" si="9"/>
        <v>0.20171762441591465</v>
      </c>
      <c r="M29" s="20">
        <f t="shared" si="10"/>
        <v>4.0690000000000004E-2</v>
      </c>
      <c r="N29" s="9">
        <v>0.35</v>
      </c>
      <c r="O29" s="20">
        <f t="shared" si="11"/>
        <v>4.7175840000000004</v>
      </c>
      <c r="S29" s="38" t="s">
        <v>214</v>
      </c>
      <c r="T29" s="26" t="s">
        <v>82</v>
      </c>
      <c r="U29" s="26" t="s">
        <v>46</v>
      </c>
      <c r="V29" s="16" t="s">
        <v>133</v>
      </c>
      <c r="W29" s="3" t="s">
        <v>53</v>
      </c>
      <c r="X29" s="1" t="s">
        <v>62</v>
      </c>
      <c r="Y29" s="20">
        <v>46.466999999999999</v>
      </c>
      <c r="Z29" s="20">
        <v>0.20399999999999999</v>
      </c>
      <c r="AA29" s="20">
        <v>45.91</v>
      </c>
      <c r="AB29" s="20">
        <v>4.7E-2</v>
      </c>
      <c r="AC29" s="20">
        <f t="shared" si="4"/>
        <v>0.55700000000000216</v>
      </c>
      <c r="AD29" s="20">
        <f t="shared" si="5"/>
        <v>0.20934421415458321</v>
      </c>
      <c r="AE29" s="20">
        <f t="shared" si="6"/>
        <v>4.3824999999999996E-2</v>
      </c>
      <c r="AF29" s="9">
        <v>0.55000000000000004</v>
      </c>
      <c r="AG29" s="20">
        <f t="shared" si="7"/>
        <v>4.9000000000029617E-5</v>
      </c>
    </row>
    <row r="30" spans="1:33">
      <c r="A30" s="38" t="s">
        <v>214</v>
      </c>
      <c r="B30" s="26" t="s">
        <v>82</v>
      </c>
      <c r="C30" s="26" t="s">
        <v>46</v>
      </c>
      <c r="D30" s="16" t="s">
        <v>127</v>
      </c>
      <c r="E30" s="3" t="s">
        <v>51</v>
      </c>
      <c r="F30" s="1" t="s">
        <v>60</v>
      </c>
      <c r="G30" s="20">
        <v>-5.3150000000000004</v>
      </c>
      <c r="H30" s="20">
        <v>0.23</v>
      </c>
      <c r="I30" s="20">
        <v>-5.7530000000000001</v>
      </c>
      <c r="J30" s="20">
        <v>7.6999999999999999E-2</v>
      </c>
      <c r="K30" s="20">
        <f t="shared" si="8"/>
        <v>0.43799999999999972</v>
      </c>
      <c r="L30" s="20">
        <f t="shared" si="9"/>
        <v>0.24254690268069803</v>
      </c>
      <c r="M30" s="20">
        <f t="shared" si="10"/>
        <v>5.8829000000000006E-2</v>
      </c>
      <c r="N30" s="9">
        <v>1.25</v>
      </c>
      <c r="O30" s="20">
        <f t="shared" si="11"/>
        <v>0.65934400000000049</v>
      </c>
      <c r="S30" s="38" t="s">
        <v>214</v>
      </c>
      <c r="T30" s="26" t="s">
        <v>82</v>
      </c>
      <c r="U30" s="26" t="s">
        <v>46</v>
      </c>
      <c r="V30" s="16" t="s">
        <v>134</v>
      </c>
      <c r="W30" s="3" t="s">
        <v>135</v>
      </c>
      <c r="X30" s="1" t="s">
        <v>142</v>
      </c>
      <c r="Y30" s="20">
        <v>46.451000000000001</v>
      </c>
      <c r="Z30" s="20">
        <v>5.8999999999999997E-2</v>
      </c>
      <c r="AA30" s="20">
        <v>46.646999999999998</v>
      </c>
      <c r="AB30" s="20">
        <v>3.5000000000000003E-2</v>
      </c>
      <c r="AC30" s="20">
        <f t="shared" si="4"/>
        <v>-0.19599999999999795</v>
      </c>
      <c r="AD30" s="20">
        <f t="shared" si="5"/>
        <v>6.860029154456998E-2</v>
      </c>
      <c r="AE30" s="20">
        <f t="shared" si="6"/>
        <v>4.7059999999999992E-3</v>
      </c>
      <c r="AF30" s="9">
        <v>0.09</v>
      </c>
      <c r="AG30" s="20">
        <f t="shared" si="7"/>
        <v>8.1795999999998814E-2</v>
      </c>
    </row>
    <row r="31" spans="1:33">
      <c r="A31" s="38" t="s">
        <v>214</v>
      </c>
      <c r="B31" s="26" t="s">
        <v>82</v>
      </c>
      <c r="C31" s="26" t="s">
        <v>46</v>
      </c>
      <c r="D31" s="16" t="s">
        <v>128</v>
      </c>
      <c r="E31" s="3" t="s">
        <v>129</v>
      </c>
      <c r="F31" s="1" t="s">
        <v>61</v>
      </c>
      <c r="G31" s="20">
        <v>-5.4610000000000003</v>
      </c>
      <c r="H31" s="20">
        <v>6.9000000000000006E-2</v>
      </c>
      <c r="I31" s="20">
        <v>-6.91</v>
      </c>
      <c r="J31" s="20">
        <v>4.4999999999999998E-2</v>
      </c>
      <c r="K31" s="20">
        <f t="shared" si="8"/>
        <v>1.4489999999999998</v>
      </c>
      <c r="L31" s="20">
        <f t="shared" si="9"/>
        <v>8.2377181306475894E-2</v>
      </c>
      <c r="M31" s="20">
        <f t="shared" si="10"/>
        <v>6.7860000000000012E-3</v>
      </c>
      <c r="N31" s="9">
        <v>1.1499999999999999</v>
      </c>
      <c r="O31" s="20">
        <f t="shared" si="11"/>
        <v>8.9400999999999953E-2</v>
      </c>
      <c r="S31" s="38" t="s">
        <v>214</v>
      </c>
      <c r="T31" s="26" t="s">
        <v>82</v>
      </c>
      <c r="U31" s="26" t="s">
        <v>46</v>
      </c>
      <c r="V31" s="16" t="s">
        <v>136</v>
      </c>
      <c r="W31" s="3" t="s">
        <v>137</v>
      </c>
      <c r="X31" s="1" t="s">
        <v>143</v>
      </c>
      <c r="Y31" s="20">
        <v>-8.4580000000000002</v>
      </c>
      <c r="Z31" s="20">
        <v>0.1</v>
      </c>
      <c r="AA31" s="20">
        <v>-8.6940000000000008</v>
      </c>
      <c r="AB31" s="20">
        <v>0.13100000000000001</v>
      </c>
      <c r="AC31" s="20">
        <f t="shared" si="4"/>
        <v>0.23600000000000065</v>
      </c>
      <c r="AD31" s="20">
        <f t="shared" si="5"/>
        <v>0.1648059464946578</v>
      </c>
      <c r="AE31" s="20">
        <f t="shared" si="6"/>
        <v>2.7161000000000008E-2</v>
      </c>
      <c r="AF31" s="9">
        <v>0.83</v>
      </c>
      <c r="AG31" s="20">
        <f t="shared" si="7"/>
        <v>0.35283599999999915</v>
      </c>
    </row>
    <row r="32" spans="1:33">
      <c r="A32" s="38" t="s">
        <v>214</v>
      </c>
      <c r="B32" s="26" t="s">
        <v>82</v>
      </c>
      <c r="C32" s="26" t="s">
        <v>46</v>
      </c>
      <c r="D32" s="16" t="s">
        <v>130</v>
      </c>
      <c r="E32" s="3" t="s">
        <v>85</v>
      </c>
      <c r="F32" s="1" t="s">
        <v>91</v>
      </c>
      <c r="G32" s="20">
        <v>-5.7610000000000001</v>
      </c>
      <c r="H32" s="20">
        <v>0.127</v>
      </c>
      <c r="I32" s="20">
        <v>-5.8780000000000001</v>
      </c>
      <c r="J32" s="20">
        <v>0.34499999999999997</v>
      </c>
      <c r="K32" s="20">
        <f t="shared" si="8"/>
        <v>0.11699999999999999</v>
      </c>
      <c r="L32" s="20">
        <f t="shared" si="9"/>
        <v>0.36763296914177862</v>
      </c>
      <c r="M32" s="20">
        <f t="shared" si="10"/>
        <v>0.13515399999999994</v>
      </c>
      <c r="N32" s="9">
        <v>0.86</v>
      </c>
      <c r="O32" s="20">
        <f t="shared" si="11"/>
        <v>0.55204900000000001</v>
      </c>
      <c r="S32" s="38" t="s">
        <v>214</v>
      </c>
      <c r="T32" s="15" t="s">
        <v>82</v>
      </c>
      <c r="U32" s="1" t="s">
        <v>70</v>
      </c>
      <c r="V32" s="16" t="s">
        <v>4</v>
      </c>
      <c r="W32" s="16" t="s">
        <v>145</v>
      </c>
      <c r="X32" s="1" t="s">
        <v>149</v>
      </c>
      <c r="Y32" s="1">
        <v>46.143999999999998</v>
      </c>
      <c r="Z32" s="1">
        <v>6.0999999999999999E-2</v>
      </c>
      <c r="AA32" s="20">
        <v>46.198999999999998</v>
      </c>
      <c r="AB32" s="20">
        <v>0.114</v>
      </c>
      <c r="AC32" s="20">
        <f>Y32-AA32</f>
        <v>-5.4999999999999716E-2</v>
      </c>
      <c r="AD32" s="20">
        <f>SQRT((Z32)^2 + (AB32)^2)</f>
        <v>0.12929423807734047</v>
      </c>
      <c r="AE32" s="20">
        <f>AD32^2</f>
        <v>1.6716999999999999E-2</v>
      </c>
      <c r="AF32" s="9">
        <v>-0.22</v>
      </c>
      <c r="AG32" s="20">
        <f>(AC32-AF32)^2</f>
        <v>2.7225000000000093E-2</v>
      </c>
    </row>
    <row r="33" spans="1:33">
      <c r="A33" s="38" t="s">
        <v>214</v>
      </c>
      <c r="B33" s="26" t="s">
        <v>82</v>
      </c>
      <c r="C33" s="26" t="s">
        <v>46</v>
      </c>
      <c r="D33" s="16" t="s">
        <v>131</v>
      </c>
      <c r="E33" s="3" t="s">
        <v>132</v>
      </c>
      <c r="F33" s="1" t="s">
        <v>141</v>
      </c>
      <c r="G33" s="20">
        <v>47.466999999999999</v>
      </c>
      <c r="H33" s="20">
        <v>9.4E-2</v>
      </c>
      <c r="I33" s="20">
        <v>46.307000000000002</v>
      </c>
      <c r="J33" s="20">
        <v>4.3999999999999997E-2</v>
      </c>
      <c r="K33" s="20">
        <f t="shared" si="8"/>
        <v>1.1599999999999966</v>
      </c>
      <c r="L33" s="20">
        <f t="shared" si="9"/>
        <v>0.10378824596263297</v>
      </c>
      <c r="M33" s="20">
        <f t="shared" si="10"/>
        <v>1.0772E-2</v>
      </c>
      <c r="N33" s="9">
        <v>1.1100000000000001</v>
      </c>
      <c r="O33" s="20">
        <f t="shared" si="11"/>
        <v>2.4999999999996492E-3</v>
      </c>
      <c r="S33" s="38" t="s">
        <v>214</v>
      </c>
      <c r="T33" s="15" t="s">
        <v>82</v>
      </c>
      <c r="U33" s="1" t="s">
        <v>70</v>
      </c>
      <c r="V33" s="16" t="s">
        <v>119</v>
      </c>
      <c r="W33" s="16" t="s">
        <v>146</v>
      </c>
      <c r="X33" s="1" t="s">
        <v>150</v>
      </c>
      <c r="Y33" s="1">
        <v>68.542000000000002</v>
      </c>
      <c r="Z33" s="1">
        <v>5.6000000000000001E-2</v>
      </c>
      <c r="AA33" s="20">
        <v>68.394000000000005</v>
      </c>
      <c r="AB33" s="20">
        <v>9.2999999999999999E-2</v>
      </c>
      <c r="AC33" s="20">
        <f>Y33-AA33</f>
        <v>0.14799999999999613</v>
      </c>
      <c r="AD33" s="20">
        <f>SQRT((Z33)^2 + (AB33)^2)</f>
        <v>0.10855873986004075</v>
      </c>
      <c r="AE33" s="20">
        <f>AD33^2</f>
        <v>1.1785E-2</v>
      </c>
      <c r="AF33" s="9">
        <v>0.2</v>
      </c>
      <c r="AG33" s="20">
        <f>(AC33-AF33)^2</f>
        <v>2.7040000000004031E-3</v>
      </c>
    </row>
    <row r="34" spans="1:33">
      <c r="A34" s="38" t="s">
        <v>214</v>
      </c>
      <c r="B34" s="26" t="s">
        <v>82</v>
      </c>
      <c r="C34" s="26" t="s">
        <v>46</v>
      </c>
      <c r="D34" s="16" t="s">
        <v>133</v>
      </c>
      <c r="E34" s="3" t="s">
        <v>53</v>
      </c>
      <c r="F34" s="1" t="s">
        <v>62</v>
      </c>
      <c r="G34" s="20">
        <v>46.466999999999999</v>
      </c>
      <c r="H34" s="20">
        <v>0.20399999999999999</v>
      </c>
      <c r="I34" s="20">
        <v>45.91</v>
      </c>
      <c r="J34" s="20">
        <v>4.7E-2</v>
      </c>
      <c r="K34" s="20">
        <f t="shared" si="8"/>
        <v>0.55700000000000216</v>
      </c>
      <c r="L34" s="20">
        <f t="shared" si="9"/>
        <v>0.20934421415458321</v>
      </c>
      <c r="M34" s="20">
        <f t="shared" si="10"/>
        <v>4.3824999999999996E-2</v>
      </c>
      <c r="N34" s="9">
        <v>0.55000000000000004</v>
      </c>
      <c r="O34" s="20">
        <f t="shared" si="11"/>
        <v>4.9000000000029617E-5</v>
      </c>
      <c r="S34" s="39" t="s">
        <v>215</v>
      </c>
      <c r="T34" s="26" t="s">
        <v>82</v>
      </c>
      <c r="U34" s="26" t="s">
        <v>46</v>
      </c>
      <c r="V34" s="3" t="s">
        <v>162</v>
      </c>
      <c r="W34" s="3" t="s">
        <v>199</v>
      </c>
      <c r="X34" s="1" t="s">
        <v>202</v>
      </c>
      <c r="Y34" s="20">
        <v>4.7489999999999997</v>
      </c>
      <c r="Z34" s="20">
        <v>0.39800000000000002</v>
      </c>
      <c r="AA34" s="20">
        <v>2.6240000000000001</v>
      </c>
      <c r="AB34" s="20">
        <v>0.248</v>
      </c>
      <c r="AC34" s="20">
        <f>Y34-AA34</f>
        <v>2.1249999999999996</v>
      </c>
      <c r="AD34" s="20">
        <f>SQRT((Z34)^2 + (AB34)^2)</f>
        <v>0.46894349339765873</v>
      </c>
      <c r="AE34" s="20">
        <f>AD34^2</f>
        <v>0.21990799999999999</v>
      </c>
      <c r="AF34" s="8">
        <v>0.56999999999999995</v>
      </c>
      <c r="AG34" s="20">
        <f>(AC34-AF34)^2</f>
        <v>2.4180249999999992</v>
      </c>
    </row>
    <row r="35" spans="1:33">
      <c r="A35" s="38" t="s">
        <v>214</v>
      </c>
      <c r="B35" s="26" t="s">
        <v>82</v>
      </c>
      <c r="C35" s="26" t="s">
        <v>46</v>
      </c>
      <c r="D35" s="16" t="s">
        <v>134</v>
      </c>
      <c r="E35" s="3" t="s">
        <v>135</v>
      </c>
      <c r="F35" s="1" t="s">
        <v>142</v>
      </c>
      <c r="G35" s="20">
        <v>46.451000000000001</v>
      </c>
      <c r="H35" s="20">
        <v>5.8999999999999997E-2</v>
      </c>
      <c r="I35" s="20">
        <v>46.646999999999998</v>
      </c>
      <c r="J35" s="20">
        <v>3.5000000000000003E-2</v>
      </c>
      <c r="K35" s="20">
        <f t="shared" si="8"/>
        <v>-0.19599999999999795</v>
      </c>
      <c r="L35" s="20">
        <f t="shared" si="9"/>
        <v>6.860029154456998E-2</v>
      </c>
      <c r="M35" s="20">
        <f t="shared" si="10"/>
        <v>4.7059999999999992E-3</v>
      </c>
      <c r="N35" s="9">
        <v>0.09</v>
      </c>
      <c r="O35" s="20">
        <f t="shared" si="11"/>
        <v>8.1795999999998814E-2</v>
      </c>
      <c r="S35" s="39" t="s">
        <v>215</v>
      </c>
      <c r="T35" s="26" t="s">
        <v>82</v>
      </c>
      <c r="U35" s="26" t="s">
        <v>46</v>
      </c>
      <c r="V35" s="3" t="s">
        <v>166</v>
      </c>
      <c r="W35" s="3" t="s">
        <v>125</v>
      </c>
      <c r="X35" s="1" t="s">
        <v>204</v>
      </c>
      <c r="Y35" s="20">
        <v>-4.3090000000000002</v>
      </c>
      <c r="Z35" s="20">
        <v>0.23400000000000001</v>
      </c>
      <c r="AA35" s="20">
        <v>-4.2960000000000003</v>
      </c>
      <c r="AB35" s="20">
        <v>4.8000000000000001E-2</v>
      </c>
      <c r="AC35" s="20">
        <f t="shared" ref="AC35:AC42" si="12">Y35-AA35</f>
        <v>-1.2999999999999901E-2</v>
      </c>
      <c r="AD35" s="20">
        <f t="shared" ref="AD35:AD42" si="13">SQRT((Z35)^2 + (AB35)^2)</f>
        <v>0.23887235084873262</v>
      </c>
      <c r="AE35" s="20">
        <f t="shared" ref="AE35:AE42" si="14">AD35^2</f>
        <v>5.7060000000000013E-2</v>
      </c>
      <c r="AF35" s="8">
        <v>-0.82</v>
      </c>
      <c r="AG35" s="20">
        <f t="shared" ref="AG35:AG42" si="15">(AC35-AF35)^2</f>
        <v>0.65124900000000008</v>
      </c>
    </row>
    <row r="36" spans="1:33">
      <c r="A36" s="38" t="s">
        <v>214</v>
      </c>
      <c r="B36" s="26" t="s">
        <v>82</v>
      </c>
      <c r="C36" s="26" t="s">
        <v>46</v>
      </c>
      <c r="D36" s="16" t="s">
        <v>136</v>
      </c>
      <c r="E36" s="3" t="s">
        <v>137</v>
      </c>
      <c r="F36" s="1" t="s">
        <v>143</v>
      </c>
      <c r="G36" s="20">
        <v>-8.4580000000000002</v>
      </c>
      <c r="H36" s="20">
        <v>0.1</v>
      </c>
      <c r="I36" s="20">
        <v>-8.6940000000000008</v>
      </c>
      <c r="J36" s="20">
        <v>0.13100000000000001</v>
      </c>
      <c r="K36" s="20">
        <f t="shared" si="8"/>
        <v>0.23600000000000065</v>
      </c>
      <c r="L36" s="20">
        <f t="shared" si="9"/>
        <v>0.1648059464946578</v>
      </c>
      <c r="M36" s="20">
        <f t="shared" si="10"/>
        <v>2.7161000000000008E-2</v>
      </c>
      <c r="N36" s="9">
        <v>0.83</v>
      </c>
      <c r="O36" s="20">
        <f t="shared" si="11"/>
        <v>0.35283599999999915</v>
      </c>
      <c r="S36" s="39" t="s">
        <v>215</v>
      </c>
      <c r="T36" s="26" t="s">
        <v>82</v>
      </c>
      <c r="U36" s="26" t="s">
        <v>46</v>
      </c>
      <c r="V36" s="3" t="s">
        <v>167</v>
      </c>
      <c r="W36" s="3" t="s">
        <v>178</v>
      </c>
      <c r="X36" s="1" t="s">
        <v>59</v>
      </c>
      <c r="Y36" s="20">
        <v>12.282999999999999</v>
      </c>
      <c r="Z36" s="20">
        <v>0.18</v>
      </c>
      <c r="AA36" s="20">
        <v>12.984999999999999</v>
      </c>
      <c r="AB36" s="20">
        <v>3.4000000000000002E-2</v>
      </c>
      <c r="AC36" s="20">
        <f t="shared" si="12"/>
        <v>-0.70199999999999996</v>
      </c>
      <c r="AD36" s="20">
        <f t="shared" si="13"/>
        <v>0.18318296864064626</v>
      </c>
      <c r="AE36" s="20">
        <f t="shared" si="14"/>
        <v>3.3555999999999989E-2</v>
      </c>
      <c r="AF36" s="8">
        <v>-0.85</v>
      </c>
      <c r="AG36" s="20">
        <f t="shared" si="15"/>
        <v>2.1904000000000007E-2</v>
      </c>
    </row>
    <row r="37" spans="1:33">
      <c r="A37" s="38" t="s">
        <v>214</v>
      </c>
      <c r="B37" s="26" t="s">
        <v>101</v>
      </c>
      <c r="C37" s="26" t="s">
        <v>46</v>
      </c>
      <c r="D37" s="25" t="s">
        <v>138</v>
      </c>
      <c r="E37" s="3" t="s">
        <v>139</v>
      </c>
      <c r="F37" s="1" t="s">
        <v>144</v>
      </c>
      <c r="G37" s="20">
        <v>-19.974</v>
      </c>
      <c r="H37" s="20">
        <v>0.98599999999999999</v>
      </c>
      <c r="I37" s="20">
        <v>-22.344999999999999</v>
      </c>
      <c r="J37" s="20">
        <v>0.19</v>
      </c>
      <c r="K37" s="20">
        <f t="shared" si="8"/>
        <v>2.3709999999999987</v>
      </c>
      <c r="L37" s="20">
        <f t="shared" si="9"/>
        <v>1.0041394325490858</v>
      </c>
      <c r="M37" s="20">
        <f t="shared" si="10"/>
        <v>1.0082960000000001</v>
      </c>
      <c r="N37" s="9">
        <v>1.07</v>
      </c>
      <c r="O37" s="20">
        <f t="shared" si="11"/>
        <v>1.6926009999999965</v>
      </c>
      <c r="S37" s="39" t="s">
        <v>215</v>
      </c>
      <c r="T37" s="26" t="s">
        <v>82</v>
      </c>
      <c r="U37" s="26" t="s">
        <v>46</v>
      </c>
      <c r="V37" s="3" t="s">
        <v>13</v>
      </c>
      <c r="W37" s="3" t="s">
        <v>179</v>
      </c>
      <c r="X37" s="1" t="s">
        <v>187</v>
      </c>
      <c r="Y37" s="20">
        <v>16.119</v>
      </c>
      <c r="Z37" s="20">
        <v>0.214</v>
      </c>
      <c r="AA37" s="20">
        <v>13.843</v>
      </c>
      <c r="AB37" s="20">
        <v>9.2999999999999999E-2</v>
      </c>
      <c r="AC37" s="20">
        <f t="shared" si="12"/>
        <v>2.2759999999999998</v>
      </c>
      <c r="AD37" s="20">
        <f t="shared" si="13"/>
        <v>0.23333452380648689</v>
      </c>
      <c r="AE37" s="20">
        <f t="shared" si="14"/>
        <v>5.4445E-2</v>
      </c>
      <c r="AF37" s="8">
        <v>0.46</v>
      </c>
      <c r="AG37" s="20">
        <f t="shared" si="15"/>
        <v>3.2978559999999995</v>
      </c>
    </row>
    <row r="38" spans="1:33">
      <c r="A38" s="38" t="s">
        <v>214</v>
      </c>
      <c r="B38" s="15" t="s">
        <v>82</v>
      </c>
      <c r="C38" s="1" t="s">
        <v>70</v>
      </c>
      <c r="D38" s="16" t="s">
        <v>4</v>
      </c>
      <c r="E38" s="16" t="s">
        <v>145</v>
      </c>
      <c r="F38" s="1" t="s">
        <v>149</v>
      </c>
      <c r="G38" s="1">
        <v>46.143999999999998</v>
      </c>
      <c r="H38" s="1">
        <v>6.0999999999999999E-2</v>
      </c>
      <c r="I38" s="20">
        <v>46.198999999999998</v>
      </c>
      <c r="J38" s="20">
        <v>0.114</v>
      </c>
      <c r="K38" s="20">
        <f>G38-I38</f>
        <v>-5.4999999999999716E-2</v>
      </c>
      <c r="L38" s="20">
        <f>SQRT((H38)^2 + (J38)^2)</f>
        <v>0.12929423807734047</v>
      </c>
      <c r="M38" s="20">
        <f>L38^2</f>
        <v>1.6716999999999999E-2</v>
      </c>
      <c r="N38" s="9">
        <v>-0.22</v>
      </c>
      <c r="O38" s="20">
        <f>(K38-N38)^2</f>
        <v>2.7225000000000093E-2</v>
      </c>
      <c r="S38" s="39" t="s">
        <v>215</v>
      </c>
      <c r="T38" s="26" t="s">
        <v>82</v>
      </c>
      <c r="U38" s="26" t="s">
        <v>46</v>
      </c>
      <c r="V38" s="3" t="s">
        <v>168</v>
      </c>
      <c r="W38" s="3" t="s">
        <v>180</v>
      </c>
      <c r="X38" s="1" t="s">
        <v>61</v>
      </c>
      <c r="Y38" s="20">
        <v>-4.7889999999999997</v>
      </c>
      <c r="Z38" s="20">
        <v>9.2999999999999999E-2</v>
      </c>
      <c r="AA38" s="20">
        <v>-4.9820000000000002</v>
      </c>
      <c r="AB38" s="20">
        <v>1.9E-2</v>
      </c>
      <c r="AC38" s="20">
        <f t="shared" si="12"/>
        <v>0.1930000000000005</v>
      </c>
      <c r="AD38" s="20">
        <f t="shared" si="13"/>
        <v>9.4921019800674286E-2</v>
      </c>
      <c r="AE38" s="20">
        <f t="shared" si="14"/>
        <v>9.0100000000000006E-3</v>
      </c>
      <c r="AF38" s="8">
        <v>0.99</v>
      </c>
      <c r="AG38" s="20">
        <f t="shared" si="15"/>
        <v>0.63520899999999914</v>
      </c>
    </row>
    <row r="39" spans="1:33">
      <c r="A39" s="38" t="s">
        <v>214</v>
      </c>
      <c r="B39" s="15" t="s">
        <v>82</v>
      </c>
      <c r="C39" s="1" t="s">
        <v>70</v>
      </c>
      <c r="D39" s="16" t="s">
        <v>119</v>
      </c>
      <c r="E39" s="16" t="s">
        <v>146</v>
      </c>
      <c r="F39" s="1" t="s">
        <v>150</v>
      </c>
      <c r="G39" s="1">
        <v>68.542000000000002</v>
      </c>
      <c r="H39" s="1">
        <v>5.6000000000000001E-2</v>
      </c>
      <c r="I39" s="20">
        <v>68.394000000000005</v>
      </c>
      <c r="J39" s="20">
        <v>9.2999999999999999E-2</v>
      </c>
      <c r="K39" s="20">
        <f>G39-I39</f>
        <v>0.14799999999999613</v>
      </c>
      <c r="L39" s="20">
        <f>SQRT((H39)^2 + (J39)^2)</f>
        <v>0.10855873986004075</v>
      </c>
      <c r="M39" s="20">
        <f>L39^2</f>
        <v>1.1785E-2</v>
      </c>
      <c r="N39" s="9">
        <v>0.2</v>
      </c>
      <c r="O39" s="20">
        <f>(K39-N39)^2</f>
        <v>2.7040000000004031E-3</v>
      </c>
      <c r="S39" s="39" t="s">
        <v>215</v>
      </c>
      <c r="T39" s="26" t="s">
        <v>82</v>
      </c>
      <c r="U39" s="26" t="s">
        <v>46</v>
      </c>
      <c r="V39" s="3" t="s">
        <v>169</v>
      </c>
      <c r="W39" s="3" t="s">
        <v>181</v>
      </c>
      <c r="X39" s="1" t="s">
        <v>91</v>
      </c>
      <c r="Y39" s="20">
        <v>70.179000000000002</v>
      </c>
      <c r="Z39" s="20">
        <v>0.24099999999999999</v>
      </c>
      <c r="AA39" s="20">
        <v>69.418000000000006</v>
      </c>
      <c r="AB39" s="20">
        <v>0.04</v>
      </c>
      <c r="AC39" s="20">
        <f t="shared" si="12"/>
        <v>0.76099999999999568</v>
      </c>
      <c r="AD39" s="20">
        <f t="shared" si="13"/>
        <v>0.24429695045169925</v>
      </c>
      <c r="AE39" s="20">
        <f t="shared" si="14"/>
        <v>5.9680999999999998E-2</v>
      </c>
      <c r="AF39" s="8">
        <v>1.53</v>
      </c>
      <c r="AG39" s="20">
        <f t="shared" si="15"/>
        <v>0.59136100000000669</v>
      </c>
    </row>
    <row r="40" spans="1:33">
      <c r="A40" s="38" t="s">
        <v>214</v>
      </c>
      <c r="B40" s="15" t="s">
        <v>101</v>
      </c>
      <c r="C40" s="1" t="s">
        <v>70</v>
      </c>
      <c r="D40" s="25" t="s">
        <v>120</v>
      </c>
      <c r="E40" s="16" t="s">
        <v>147</v>
      </c>
      <c r="F40" s="1" t="s">
        <v>151</v>
      </c>
      <c r="G40" s="1">
        <v>-23.030999999999999</v>
      </c>
      <c r="H40" s="1">
        <v>0.14299999999999999</v>
      </c>
      <c r="I40" s="20">
        <v>-24.692</v>
      </c>
      <c r="J40" s="20">
        <v>6.7000000000000004E-2</v>
      </c>
      <c r="K40" s="20">
        <f>G40-I40</f>
        <v>1.6610000000000014</v>
      </c>
      <c r="L40" s="20">
        <f>SQRT((H40)^2 + (J40)^2)</f>
        <v>0.15791770008456935</v>
      </c>
      <c r="M40" s="20">
        <f>L40^2</f>
        <v>2.4937999999999991E-2</v>
      </c>
      <c r="N40" s="9">
        <v>-0.87</v>
      </c>
      <c r="O40" s="20">
        <f>(K40-N40)^2</f>
        <v>6.4059610000000076</v>
      </c>
      <c r="S40" s="39" t="s">
        <v>215</v>
      </c>
      <c r="T40" s="26" t="s">
        <v>82</v>
      </c>
      <c r="U40" s="26" t="s">
        <v>46</v>
      </c>
      <c r="V40" s="3" t="s">
        <v>170</v>
      </c>
      <c r="W40" s="3" t="s">
        <v>201</v>
      </c>
      <c r="X40" s="1" t="s">
        <v>205</v>
      </c>
      <c r="Y40" s="20">
        <v>11.673999999999999</v>
      </c>
      <c r="Z40" s="20">
        <v>0.111</v>
      </c>
      <c r="AA40" s="20">
        <v>12.246</v>
      </c>
      <c r="AB40" s="20">
        <v>0.17299999999999999</v>
      </c>
      <c r="AC40" s="20">
        <f t="shared" si="12"/>
        <v>-0.57200000000000095</v>
      </c>
      <c r="AD40" s="20">
        <f t="shared" si="13"/>
        <v>0.20554804791094464</v>
      </c>
      <c r="AE40" s="20">
        <f t="shared" si="14"/>
        <v>4.2249999999999989E-2</v>
      </c>
      <c r="AF40" s="8">
        <v>0.06</v>
      </c>
      <c r="AG40" s="20">
        <f t="shared" si="15"/>
        <v>0.39942400000000128</v>
      </c>
    </row>
    <row r="41" spans="1:33">
      <c r="A41" s="38" t="s">
        <v>214</v>
      </c>
      <c r="B41" s="15" t="s">
        <v>101</v>
      </c>
      <c r="C41" s="1" t="s">
        <v>70</v>
      </c>
      <c r="D41" s="25" t="s">
        <v>123</v>
      </c>
      <c r="E41" s="24" t="s">
        <v>148</v>
      </c>
      <c r="F41" s="1" t="s">
        <v>152</v>
      </c>
      <c r="G41" s="1">
        <v>-22.321000000000002</v>
      </c>
      <c r="H41" s="1">
        <v>0.113</v>
      </c>
      <c r="I41" s="20">
        <v>-24.713999999999999</v>
      </c>
      <c r="J41" s="20">
        <v>0.24</v>
      </c>
      <c r="K41" s="20">
        <f>G41-I41</f>
        <v>2.3929999999999971</v>
      </c>
      <c r="L41" s="20">
        <f>SQRT((H41)^2 + (J41)^2)</f>
        <v>0.26527155897306443</v>
      </c>
      <c r="M41" s="20">
        <f>L41^2</f>
        <v>7.0369000000000001E-2</v>
      </c>
      <c r="N41" s="9">
        <v>0.83</v>
      </c>
      <c r="O41" s="20">
        <f>(K41-N41)^2</f>
        <v>2.4429689999999908</v>
      </c>
      <c r="S41" s="39" t="s">
        <v>215</v>
      </c>
      <c r="T41" s="26" t="s">
        <v>82</v>
      </c>
      <c r="U41" s="26" t="s">
        <v>46</v>
      </c>
      <c r="V41" s="3" t="s">
        <v>171</v>
      </c>
      <c r="W41" s="3" t="s">
        <v>86</v>
      </c>
      <c r="X41" s="1" t="s">
        <v>92</v>
      </c>
      <c r="Y41" s="20">
        <v>-7.7270000000000003</v>
      </c>
      <c r="Z41" s="20">
        <v>0.34300000000000003</v>
      </c>
      <c r="AA41" s="20">
        <v>-8.2859999999999996</v>
      </c>
      <c r="AB41" s="20">
        <v>9.9000000000000005E-2</v>
      </c>
      <c r="AC41" s="20">
        <f t="shared" si="12"/>
        <v>0.55899999999999928</v>
      </c>
      <c r="AD41" s="20">
        <f t="shared" si="13"/>
        <v>0.35700140055747681</v>
      </c>
      <c r="AE41" s="20">
        <f t="shared" si="14"/>
        <v>0.12745000000000001</v>
      </c>
      <c r="AF41" s="8">
        <v>0.47</v>
      </c>
      <c r="AG41" s="20">
        <f t="shared" si="15"/>
        <v>7.9209999999998761E-3</v>
      </c>
    </row>
    <row r="42" spans="1:33">
      <c r="A42" s="39" t="s">
        <v>215</v>
      </c>
      <c r="B42" s="26" t="s">
        <v>82</v>
      </c>
      <c r="C42" s="26" t="s">
        <v>46</v>
      </c>
      <c r="D42" s="3" t="s">
        <v>162</v>
      </c>
      <c r="E42" s="3" t="s">
        <v>199</v>
      </c>
      <c r="F42" s="1" t="s">
        <v>202</v>
      </c>
      <c r="G42" s="20">
        <v>4.7489999999999997</v>
      </c>
      <c r="H42" s="20">
        <v>0.39800000000000002</v>
      </c>
      <c r="I42" s="20">
        <v>2.6240000000000001</v>
      </c>
      <c r="J42" s="20">
        <v>0.248</v>
      </c>
      <c r="K42" s="20">
        <f>G42-I42</f>
        <v>2.1249999999999996</v>
      </c>
      <c r="L42" s="20">
        <f>SQRT((H42)^2 + (J42)^2)</f>
        <v>0.46894349339765873</v>
      </c>
      <c r="M42" s="20">
        <f>L42^2</f>
        <v>0.21990799999999999</v>
      </c>
      <c r="N42" s="8">
        <v>0.56999999999999995</v>
      </c>
      <c r="O42" s="20">
        <f>(K42-N42)^2</f>
        <v>2.4180249999999992</v>
      </c>
      <c r="S42" s="39" t="s">
        <v>215</v>
      </c>
      <c r="T42" s="26" t="s">
        <v>82</v>
      </c>
      <c r="U42" s="26" t="s">
        <v>46</v>
      </c>
      <c r="V42" s="3" t="s">
        <v>172</v>
      </c>
      <c r="W42" s="3" t="s">
        <v>182</v>
      </c>
      <c r="X42" s="1" t="s">
        <v>93</v>
      </c>
      <c r="Y42" s="20">
        <v>11.613</v>
      </c>
      <c r="Z42" s="20">
        <v>0.127</v>
      </c>
      <c r="AA42" s="20">
        <v>10.423</v>
      </c>
      <c r="AB42" s="20">
        <v>0.13500000000000001</v>
      </c>
      <c r="AC42" s="20">
        <f t="shared" si="12"/>
        <v>1.1899999999999995</v>
      </c>
      <c r="AD42" s="20">
        <f t="shared" si="13"/>
        <v>0.18534832073693033</v>
      </c>
      <c r="AE42" s="20">
        <f t="shared" si="14"/>
        <v>3.4353999999999996E-2</v>
      </c>
      <c r="AF42" s="8">
        <v>-0.43</v>
      </c>
      <c r="AG42" s="20">
        <f t="shared" si="15"/>
        <v>2.6243999999999983</v>
      </c>
    </row>
    <row r="43" spans="1:33">
      <c r="A43" s="39" t="s">
        <v>215</v>
      </c>
      <c r="B43" s="1" t="s">
        <v>101</v>
      </c>
      <c r="C43" s="26" t="s">
        <v>46</v>
      </c>
      <c r="D43" s="6" t="s">
        <v>9</v>
      </c>
      <c r="E43" s="3" t="s">
        <v>200</v>
      </c>
      <c r="F43" s="1" t="s">
        <v>203</v>
      </c>
      <c r="G43" s="20">
        <v>-38.622</v>
      </c>
      <c r="H43" s="20">
        <v>0.70099999999999996</v>
      </c>
      <c r="I43" s="20">
        <v>-40.954999999999998</v>
      </c>
      <c r="J43" s="20">
        <v>0.219</v>
      </c>
      <c r="K43" s="20">
        <f t="shared" ref="K43:K55" si="16">G43-I43</f>
        <v>2.3329999999999984</v>
      </c>
      <c r="L43" s="20">
        <f t="shared" ref="L43:L55" si="17">SQRT((H43)^2 + (J43)^2)</f>
        <v>0.73441269052216129</v>
      </c>
      <c r="M43" s="20">
        <f t="shared" ref="M43:M55" si="18">L43^2</f>
        <v>0.5393619999999999</v>
      </c>
      <c r="N43" s="8">
        <v>1.07</v>
      </c>
      <c r="O43" s="20">
        <f t="shared" ref="O43:O55" si="19">(K43-N43)^2</f>
        <v>1.5951689999999958</v>
      </c>
      <c r="S43" s="39" t="s">
        <v>215</v>
      </c>
      <c r="T43" s="15" t="s">
        <v>82</v>
      </c>
      <c r="U43" s="1" t="s">
        <v>70</v>
      </c>
      <c r="V43" s="3" t="s">
        <v>14</v>
      </c>
      <c r="W43" s="3" t="s">
        <v>190</v>
      </c>
      <c r="X43" s="1" t="s">
        <v>195</v>
      </c>
      <c r="Y43" s="20">
        <v>-5.1050000000000004</v>
      </c>
      <c r="Z43" s="20">
        <v>8.5999999999999993E-2</v>
      </c>
      <c r="AA43" s="20">
        <v>-5.056</v>
      </c>
      <c r="AB43" s="20">
        <v>5.0999999999999997E-2</v>
      </c>
      <c r="AC43" s="20">
        <f>(Y43-AA43)</f>
        <v>-4.9000000000000377E-2</v>
      </c>
      <c r="AD43" s="20">
        <f>SQRT((Z43)^2 + (AB43)^2)</f>
        <v>9.9984998874831213E-2</v>
      </c>
      <c r="AE43" s="20">
        <f>AD43^2</f>
        <v>9.9969999999999989E-3</v>
      </c>
      <c r="AF43" s="8">
        <v>-0.51</v>
      </c>
      <c r="AG43" s="20">
        <f>(AC43-AF43)^2</f>
        <v>0.21252099999999965</v>
      </c>
    </row>
    <row r="44" spans="1:33">
      <c r="A44" s="39" t="s">
        <v>215</v>
      </c>
      <c r="B44" s="1" t="s">
        <v>101</v>
      </c>
      <c r="C44" s="26" t="s">
        <v>46</v>
      </c>
      <c r="D44" s="6" t="s">
        <v>11</v>
      </c>
      <c r="E44" s="3" t="s">
        <v>176</v>
      </c>
      <c r="F44" s="1" t="s">
        <v>186</v>
      </c>
      <c r="G44" s="20">
        <v>-41.331000000000003</v>
      </c>
      <c r="H44" s="20">
        <v>0.25800000000000001</v>
      </c>
      <c r="I44" s="20">
        <v>-43.83</v>
      </c>
      <c r="J44" s="20">
        <v>0.17</v>
      </c>
      <c r="K44" s="20">
        <f t="shared" si="16"/>
        <v>2.4989999999999952</v>
      </c>
      <c r="L44" s="20">
        <f t="shared" si="17"/>
        <v>0.30897249068485044</v>
      </c>
      <c r="M44" s="20">
        <f t="shared" si="18"/>
        <v>9.5463999999999993E-2</v>
      </c>
      <c r="N44" s="8">
        <v>1.53</v>
      </c>
      <c r="O44" s="20">
        <f t="shared" si="19"/>
        <v>0.93896099999999072</v>
      </c>
      <c r="AE44" s="18" t="s">
        <v>67</v>
      </c>
      <c r="AF44" s="18"/>
      <c r="AG44" s="18" t="s">
        <v>67</v>
      </c>
    </row>
    <row r="45" spans="1:33">
      <c r="A45" s="39" t="s">
        <v>215</v>
      </c>
      <c r="B45" s="26" t="s">
        <v>82</v>
      </c>
      <c r="C45" s="26" t="s">
        <v>46</v>
      </c>
      <c r="D45" s="3" t="s">
        <v>166</v>
      </c>
      <c r="E45" s="3" t="s">
        <v>125</v>
      </c>
      <c r="F45" s="1" t="s">
        <v>204</v>
      </c>
      <c r="G45" s="20">
        <v>-4.3090000000000002</v>
      </c>
      <c r="H45" s="20">
        <v>0.23400000000000001</v>
      </c>
      <c r="I45" s="20">
        <v>-4.2960000000000003</v>
      </c>
      <c r="J45" s="20">
        <v>4.8000000000000001E-2</v>
      </c>
      <c r="K45" s="20">
        <f t="shared" si="16"/>
        <v>-1.2999999999999901E-2</v>
      </c>
      <c r="L45" s="20">
        <f t="shared" si="17"/>
        <v>0.23887235084873262</v>
      </c>
      <c r="M45" s="20">
        <f t="shared" si="18"/>
        <v>5.7060000000000013E-2</v>
      </c>
      <c r="N45" s="8">
        <v>-0.82</v>
      </c>
      <c r="O45" s="20">
        <f t="shared" si="19"/>
        <v>0.65124900000000008</v>
      </c>
      <c r="AE45" s="20">
        <f>SUM(AE3:AE43)</f>
        <v>2.9860759997142545</v>
      </c>
      <c r="AF45" s="20"/>
      <c r="AG45" s="20">
        <f>SUM(AG3:AG43)</f>
        <v>46.37533100000001</v>
      </c>
    </row>
    <row r="46" spans="1:33">
      <c r="A46" s="39" t="s">
        <v>215</v>
      </c>
      <c r="B46" s="26" t="s">
        <v>82</v>
      </c>
      <c r="C46" s="26" t="s">
        <v>46</v>
      </c>
      <c r="D46" s="3" t="s">
        <v>167</v>
      </c>
      <c r="E46" s="3" t="s">
        <v>178</v>
      </c>
      <c r="F46" s="1" t="s">
        <v>59</v>
      </c>
      <c r="G46" s="20">
        <v>12.282999999999999</v>
      </c>
      <c r="H46" s="20">
        <v>0.18</v>
      </c>
      <c r="I46" s="20">
        <v>12.984999999999999</v>
      </c>
      <c r="J46" s="20">
        <v>3.4000000000000002E-2</v>
      </c>
      <c r="K46" s="20">
        <f t="shared" si="16"/>
        <v>-0.70199999999999996</v>
      </c>
      <c r="L46" s="20">
        <f t="shared" si="17"/>
        <v>0.18318296864064626</v>
      </c>
      <c r="M46" s="20">
        <f t="shared" si="18"/>
        <v>3.3555999999999989E-2</v>
      </c>
      <c r="N46" s="8">
        <v>-0.85</v>
      </c>
      <c r="O46" s="20">
        <f t="shared" si="19"/>
        <v>2.1904000000000007E-2</v>
      </c>
      <c r="AE46" s="20"/>
      <c r="AF46" s="20"/>
      <c r="AG46" s="20"/>
    </row>
    <row r="47" spans="1:33">
      <c r="A47" s="39" t="s">
        <v>215</v>
      </c>
      <c r="B47" s="26" t="s">
        <v>82</v>
      </c>
      <c r="C47" s="26" t="s">
        <v>46</v>
      </c>
      <c r="D47" s="3" t="s">
        <v>13</v>
      </c>
      <c r="E47" s="3" t="s">
        <v>179</v>
      </c>
      <c r="F47" s="1" t="s">
        <v>187</v>
      </c>
      <c r="G47" s="20">
        <v>16.119</v>
      </c>
      <c r="H47" s="20">
        <v>0.214</v>
      </c>
      <c r="I47" s="20">
        <v>13.843</v>
      </c>
      <c r="J47" s="20">
        <v>9.2999999999999999E-2</v>
      </c>
      <c r="K47" s="20">
        <f t="shared" si="16"/>
        <v>2.2759999999999998</v>
      </c>
      <c r="L47" s="20">
        <f t="shared" si="17"/>
        <v>0.23333452380648689</v>
      </c>
      <c r="M47" s="20">
        <f t="shared" si="18"/>
        <v>5.4445E-2</v>
      </c>
      <c r="N47" s="8">
        <v>0.46</v>
      </c>
      <c r="O47" s="20">
        <f t="shared" si="19"/>
        <v>3.2978559999999995</v>
      </c>
      <c r="AE47" s="20"/>
      <c r="AF47" s="19" t="s">
        <v>68</v>
      </c>
      <c r="AG47" s="20">
        <f>SQRT(AG45/41)</f>
        <v>1.0635345006845531</v>
      </c>
    </row>
    <row r="48" spans="1:33">
      <c r="A48" s="39" t="s">
        <v>215</v>
      </c>
      <c r="B48" s="26" t="s">
        <v>82</v>
      </c>
      <c r="C48" s="26" t="s">
        <v>46</v>
      </c>
      <c r="D48" s="3" t="s">
        <v>168</v>
      </c>
      <c r="E48" s="3" t="s">
        <v>180</v>
      </c>
      <c r="F48" s="1" t="s">
        <v>61</v>
      </c>
      <c r="G48" s="20">
        <v>-4.7889999999999997</v>
      </c>
      <c r="H48" s="20">
        <v>9.2999999999999999E-2</v>
      </c>
      <c r="I48" s="20">
        <v>-4.9820000000000002</v>
      </c>
      <c r="J48" s="20">
        <v>1.9E-2</v>
      </c>
      <c r="K48" s="20">
        <f t="shared" si="16"/>
        <v>0.1930000000000005</v>
      </c>
      <c r="L48" s="20">
        <f t="shared" si="17"/>
        <v>9.4921019800674286E-2</v>
      </c>
      <c r="M48" s="20">
        <f t="shared" si="18"/>
        <v>9.0100000000000006E-3</v>
      </c>
      <c r="N48" s="8">
        <v>0.99</v>
      </c>
      <c r="O48" s="20">
        <f t="shared" si="19"/>
        <v>0.63520899999999914</v>
      </c>
      <c r="AE48" s="20"/>
      <c r="AF48" s="19" t="s">
        <v>40</v>
      </c>
      <c r="AG48" s="20">
        <f>SQRT(AE45/41)</f>
        <v>0.26987241790195993</v>
      </c>
    </row>
    <row r="49" spans="1:15">
      <c r="A49" s="39" t="s">
        <v>215</v>
      </c>
      <c r="B49" s="26" t="s">
        <v>82</v>
      </c>
      <c r="C49" s="26" t="s">
        <v>46</v>
      </c>
      <c r="D49" s="3" t="s">
        <v>169</v>
      </c>
      <c r="E49" s="3" t="s">
        <v>181</v>
      </c>
      <c r="F49" s="1" t="s">
        <v>91</v>
      </c>
      <c r="G49" s="20">
        <v>70.179000000000002</v>
      </c>
      <c r="H49" s="20">
        <v>0.24099999999999999</v>
      </c>
      <c r="I49" s="20">
        <v>69.418000000000006</v>
      </c>
      <c r="J49" s="20">
        <v>0.04</v>
      </c>
      <c r="K49" s="20">
        <f t="shared" si="16"/>
        <v>0.76099999999999568</v>
      </c>
      <c r="L49" s="20">
        <f t="shared" si="17"/>
        <v>0.24429695045169925</v>
      </c>
      <c r="M49" s="20">
        <f t="shared" si="18"/>
        <v>5.9680999999999998E-2</v>
      </c>
      <c r="N49" s="8">
        <v>1.53</v>
      </c>
      <c r="O49" s="20">
        <f t="shared" si="19"/>
        <v>0.59136100000000669</v>
      </c>
    </row>
    <row r="50" spans="1:15">
      <c r="A50" s="39" t="s">
        <v>215</v>
      </c>
      <c r="B50" s="26" t="s">
        <v>82</v>
      </c>
      <c r="C50" s="26" t="s">
        <v>46</v>
      </c>
      <c r="D50" s="3" t="s">
        <v>170</v>
      </c>
      <c r="E50" s="3" t="s">
        <v>201</v>
      </c>
      <c r="F50" s="1" t="s">
        <v>205</v>
      </c>
      <c r="G50" s="20">
        <v>11.673999999999999</v>
      </c>
      <c r="H50" s="20">
        <v>0.111</v>
      </c>
      <c r="I50" s="20">
        <v>12.246</v>
      </c>
      <c r="J50" s="20">
        <v>0.17299999999999999</v>
      </c>
      <c r="K50" s="20">
        <f t="shared" si="16"/>
        <v>-0.57200000000000095</v>
      </c>
      <c r="L50" s="20">
        <f t="shared" si="17"/>
        <v>0.20554804791094464</v>
      </c>
      <c r="M50" s="20">
        <f t="shared" si="18"/>
        <v>4.2249999999999989E-2</v>
      </c>
      <c r="N50" s="8">
        <v>0.06</v>
      </c>
      <c r="O50" s="20">
        <f t="shared" si="19"/>
        <v>0.39942400000000128</v>
      </c>
    </row>
    <row r="51" spans="1:15">
      <c r="A51" s="39" t="s">
        <v>215</v>
      </c>
      <c r="B51" s="26" t="s">
        <v>82</v>
      </c>
      <c r="C51" s="26" t="s">
        <v>46</v>
      </c>
      <c r="D51" s="3" t="s">
        <v>171</v>
      </c>
      <c r="E51" s="3" t="s">
        <v>86</v>
      </c>
      <c r="F51" s="1" t="s">
        <v>92</v>
      </c>
      <c r="G51" s="20">
        <v>-7.7270000000000003</v>
      </c>
      <c r="H51" s="20">
        <v>0.34300000000000003</v>
      </c>
      <c r="I51" s="20">
        <v>-8.2859999999999996</v>
      </c>
      <c r="J51" s="20">
        <v>9.9000000000000005E-2</v>
      </c>
      <c r="K51" s="20">
        <f t="shared" si="16"/>
        <v>0.55899999999999928</v>
      </c>
      <c r="L51" s="20">
        <f t="shared" si="17"/>
        <v>0.35700140055747681</v>
      </c>
      <c r="M51" s="20">
        <f t="shared" si="18"/>
        <v>0.12745000000000001</v>
      </c>
      <c r="N51" s="8">
        <v>0.47</v>
      </c>
      <c r="O51" s="20">
        <f t="shared" si="19"/>
        <v>7.9209999999998761E-3</v>
      </c>
    </row>
    <row r="52" spans="1:15">
      <c r="A52" s="39" t="s">
        <v>215</v>
      </c>
      <c r="B52" s="26" t="s">
        <v>82</v>
      </c>
      <c r="C52" s="26" t="s">
        <v>46</v>
      </c>
      <c r="D52" s="3" t="s">
        <v>172</v>
      </c>
      <c r="E52" s="3" t="s">
        <v>182</v>
      </c>
      <c r="F52" s="1" t="s">
        <v>93</v>
      </c>
      <c r="G52" s="20">
        <v>11.613</v>
      </c>
      <c r="H52" s="20">
        <v>0.127</v>
      </c>
      <c r="I52" s="20">
        <v>10.423</v>
      </c>
      <c r="J52" s="20">
        <v>0.13500000000000001</v>
      </c>
      <c r="K52" s="20">
        <f t="shared" si="16"/>
        <v>1.1899999999999995</v>
      </c>
      <c r="L52" s="20">
        <f t="shared" si="17"/>
        <v>0.18534832073693033</v>
      </c>
      <c r="M52" s="20">
        <f t="shared" si="18"/>
        <v>3.4353999999999996E-2</v>
      </c>
      <c r="N52" s="8">
        <v>-0.43</v>
      </c>
      <c r="O52" s="20">
        <f t="shared" si="19"/>
        <v>2.6243999999999983</v>
      </c>
    </row>
    <row r="53" spans="1:15">
      <c r="A53" s="39" t="s">
        <v>215</v>
      </c>
      <c r="B53" s="1" t="s">
        <v>206</v>
      </c>
      <c r="C53" s="26" t="s">
        <v>46</v>
      </c>
      <c r="D53" s="6" t="s">
        <v>173</v>
      </c>
      <c r="E53" s="3" t="s">
        <v>183</v>
      </c>
      <c r="F53" s="1" t="s">
        <v>94</v>
      </c>
      <c r="G53" s="20">
        <v>13.137</v>
      </c>
      <c r="H53" s="20">
        <v>0.16800000000000001</v>
      </c>
      <c r="I53" s="20">
        <v>12.03</v>
      </c>
      <c r="J53" s="20">
        <v>0.122</v>
      </c>
      <c r="K53" s="20">
        <f t="shared" si="16"/>
        <v>1.1070000000000011</v>
      </c>
      <c r="L53" s="20">
        <f t="shared" si="17"/>
        <v>0.20762466134830901</v>
      </c>
      <c r="M53" s="20">
        <f t="shared" si="18"/>
        <v>4.3108E-2</v>
      </c>
      <c r="N53" s="8">
        <v>-0.27</v>
      </c>
      <c r="O53" s="20">
        <f t="shared" si="19"/>
        <v>1.8961290000000031</v>
      </c>
    </row>
    <row r="54" spans="1:15">
      <c r="A54" s="39" t="s">
        <v>215</v>
      </c>
      <c r="B54" s="1" t="s">
        <v>206</v>
      </c>
      <c r="C54" s="26" t="s">
        <v>46</v>
      </c>
      <c r="D54" s="6" t="s">
        <v>174</v>
      </c>
      <c r="E54" s="3" t="s">
        <v>184</v>
      </c>
      <c r="F54" s="1" t="s">
        <v>188</v>
      </c>
      <c r="G54" s="20">
        <v>10.42</v>
      </c>
      <c r="H54" s="20">
        <v>0.05</v>
      </c>
      <c r="I54" s="20">
        <v>11.746</v>
      </c>
      <c r="J54" s="20">
        <v>0.17100000000000001</v>
      </c>
      <c r="K54" s="20">
        <f t="shared" si="16"/>
        <v>-1.3260000000000005</v>
      </c>
      <c r="L54" s="20">
        <f t="shared" si="17"/>
        <v>0.17816004041310723</v>
      </c>
      <c r="M54" s="20">
        <f t="shared" si="18"/>
        <v>3.1741000000000005E-2</v>
      </c>
      <c r="N54" s="8">
        <v>-0.63</v>
      </c>
      <c r="O54" s="20">
        <f t="shared" si="19"/>
        <v>0.48441600000000068</v>
      </c>
    </row>
    <row r="55" spans="1:15">
      <c r="A55" s="39" t="s">
        <v>215</v>
      </c>
      <c r="B55" s="1" t="s">
        <v>206</v>
      </c>
      <c r="C55" s="26" t="s">
        <v>46</v>
      </c>
      <c r="D55" s="6" t="s">
        <v>175</v>
      </c>
      <c r="E55" s="3" t="s">
        <v>185</v>
      </c>
      <c r="F55" s="1" t="s">
        <v>189</v>
      </c>
      <c r="G55" s="20">
        <v>14.385</v>
      </c>
      <c r="H55" s="20">
        <v>5.5E-2</v>
      </c>
      <c r="I55" s="20">
        <v>14.122999999999999</v>
      </c>
      <c r="J55" s="20">
        <v>0.159</v>
      </c>
      <c r="K55" s="20">
        <f t="shared" si="16"/>
        <v>0.26200000000000045</v>
      </c>
      <c r="L55" s="20">
        <f t="shared" si="17"/>
        <v>0.16824387061643584</v>
      </c>
      <c r="M55" s="20">
        <f t="shared" si="18"/>
        <v>2.8306000000000001E-2</v>
      </c>
      <c r="N55" s="8">
        <v>0.19</v>
      </c>
      <c r="O55" s="20">
        <f t="shared" si="19"/>
        <v>5.1840000000000653E-3</v>
      </c>
    </row>
    <row r="56" spans="1:15">
      <c r="A56" s="39" t="s">
        <v>215</v>
      </c>
      <c r="B56" s="15" t="s">
        <v>82</v>
      </c>
      <c r="C56" s="1" t="s">
        <v>70</v>
      </c>
      <c r="D56" s="3" t="s">
        <v>14</v>
      </c>
      <c r="E56" s="3" t="s">
        <v>190</v>
      </c>
      <c r="F56" s="1" t="s">
        <v>195</v>
      </c>
      <c r="G56" s="20">
        <v>-5.1050000000000004</v>
      </c>
      <c r="H56" s="20">
        <v>8.5999999999999993E-2</v>
      </c>
      <c r="I56" s="20">
        <v>-5.056</v>
      </c>
      <c r="J56" s="20">
        <v>5.0999999999999997E-2</v>
      </c>
      <c r="K56" s="20">
        <f>(G56-I56)</f>
        <v>-4.9000000000000377E-2</v>
      </c>
      <c r="L56" s="20">
        <f>SQRT((H56)^2 + (J56)^2)</f>
        <v>9.9984998874831213E-2</v>
      </c>
      <c r="M56" s="20">
        <f>L56^2</f>
        <v>9.9969999999999989E-3</v>
      </c>
      <c r="N56" s="8">
        <v>-0.51</v>
      </c>
      <c r="O56" s="20">
        <f>(K56-N56)^2</f>
        <v>0.21252099999999965</v>
      </c>
    </row>
    <row r="57" spans="1:15">
      <c r="A57" s="39" t="s">
        <v>215</v>
      </c>
      <c r="B57" s="1" t="s">
        <v>101</v>
      </c>
      <c r="C57" s="1" t="s">
        <v>70</v>
      </c>
      <c r="D57" s="6" t="s">
        <v>163</v>
      </c>
      <c r="E57" s="3" t="s">
        <v>191</v>
      </c>
      <c r="F57" s="1" t="s">
        <v>196</v>
      </c>
      <c r="G57" s="20">
        <v>-8.8810000000000002</v>
      </c>
      <c r="H57" s="20">
        <v>4.2999999999999997E-2</v>
      </c>
      <c r="I57" s="20">
        <v>-8.9640000000000004</v>
      </c>
      <c r="J57" s="20">
        <v>4.2999999999999997E-2</v>
      </c>
      <c r="K57" s="20">
        <f>(G57-I57)</f>
        <v>8.3000000000000185E-2</v>
      </c>
      <c r="L57" s="20">
        <f>SQRT((H57)^2 + (J57)^2)</f>
        <v>6.081118318204308E-2</v>
      </c>
      <c r="M57" s="20">
        <f>L57^2</f>
        <v>3.697999999999999E-3</v>
      </c>
      <c r="N57" s="8">
        <v>1.1299999999999999</v>
      </c>
      <c r="O57" s="20">
        <f>(K57-N57)^2</f>
        <v>1.0962089999999993</v>
      </c>
    </row>
    <row r="58" spans="1:15">
      <c r="A58" s="39" t="s">
        <v>215</v>
      </c>
      <c r="B58" s="1" t="s">
        <v>101</v>
      </c>
      <c r="C58" s="1" t="s">
        <v>70</v>
      </c>
      <c r="D58" s="6" t="s">
        <v>164</v>
      </c>
      <c r="E58" s="3" t="s">
        <v>192</v>
      </c>
      <c r="F58" s="1" t="s">
        <v>77</v>
      </c>
      <c r="G58" s="20">
        <v>12.08</v>
      </c>
      <c r="H58" s="20">
        <v>0.26</v>
      </c>
      <c r="I58" s="20">
        <v>11.585000000000001</v>
      </c>
      <c r="J58" s="20">
        <v>0.122</v>
      </c>
      <c r="K58" s="20">
        <f>(G58-I58)</f>
        <v>0.49499999999999922</v>
      </c>
      <c r="L58" s="20">
        <f>SQRT((H58)^2 + (J58)^2)</f>
        <v>0.28720027855139696</v>
      </c>
      <c r="M58" s="20">
        <f>L58^2</f>
        <v>8.2484000000000002E-2</v>
      </c>
      <c r="N58" s="8">
        <v>0.47</v>
      </c>
      <c r="O58" s="20">
        <f>(K58-N58)^2</f>
        <v>6.2499999999996228E-4</v>
      </c>
    </row>
    <row r="59" spans="1:15">
      <c r="A59" s="39" t="s">
        <v>215</v>
      </c>
      <c r="B59" s="1" t="s">
        <v>101</v>
      </c>
      <c r="C59" s="1" t="s">
        <v>70</v>
      </c>
      <c r="D59" s="6" t="s">
        <v>165</v>
      </c>
      <c r="E59" s="3" t="s">
        <v>193</v>
      </c>
      <c r="F59" s="1" t="s">
        <v>197</v>
      </c>
      <c r="G59" s="20">
        <v>7.5359999999999996</v>
      </c>
      <c r="H59" s="20">
        <v>0.108</v>
      </c>
      <c r="I59" s="20">
        <v>6.2859999999999996</v>
      </c>
      <c r="J59" s="20">
        <v>9.0999999999999998E-2</v>
      </c>
      <c r="K59" s="20">
        <f>(G59-I59)</f>
        <v>1.25</v>
      </c>
      <c r="L59" s="20">
        <f>SQRT((H59)^2 + (J59)^2)</f>
        <v>0.1412267680009707</v>
      </c>
      <c r="M59" s="20">
        <f>L59^2</f>
        <v>1.9945000000000001E-2</v>
      </c>
      <c r="N59" s="8">
        <v>0.97</v>
      </c>
      <c r="O59" s="20">
        <f>(K59-N59)^2</f>
        <v>7.8400000000000011E-2</v>
      </c>
    </row>
    <row r="60" spans="1:15">
      <c r="A60" s="39" t="s">
        <v>215</v>
      </c>
      <c r="B60" s="1" t="s">
        <v>101</v>
      </c>
      <c r="C60" s="1" t="s">
        <v>70</v>
      </c>
      <c r="D60" s="6" t="s">
        <v>12</v>
      </c>
      <c r="E60" s="3" t="s">
        <v>194</v>
      </c>
      <c r="F60" s="1" t="s">
        <v>198</v>
      </c>
      <c r="G60" s="20">
        <v>-24.760999999999999</v>
      </c>
      <c r="H60" s="20">
        <v>0.14499999999999999</v>
      </c>
      <c r="I60" s="20">
        <v>-24.088000000000001</v>
      </c>
      <c r="J60" s="20">
        <v>9.1999999999999998E-2</v>
      </c>
      <c r="K60" s="20">
        <f>(G60-I60)</f>
        <v>-0.67299999999999827</v>
      </c>
      <c r="L60" s="20">
        <f>SQRT((H60)^2 + (J60)^2)</f>
        <v>0.17172361514946044</v>
      </c>
      <c r="M60" s="20">
        <f>L60^2</f>
        <v>2.9488999999999998E-2</v>
      </c>
      <c r="N60" s="8">
        <v>0.02</v>
      </c>
      <c r="O60" s="20">
        <f>(K60-N60)^2</f>
        <v>0.48024899999999759</v>
      </c>
    </row>
    <row r="61" spans="1:15">
      <c r="M61" s="18" t="s">
        <v>67</v>
      </c>
      <c r="N61" s="18"/>
      <c r="O61" s="18" t="s">
        <v>67</v>
      </c>
    </row>
    <row r="62" spans="1:15">
      <c r="M62" s="20">
        <f>SUM(M3:M60)</f>
        <v>5.2106109997142536</v>
      </c>
      <c r="N62" s="20"/>
      <c r="O62" s="20">
        <f>SUM(O3:O60)</f>
        <v>77.28791899999996</v>
      </c>
    </row>
    <row r="63" spans="1:15">
      <c r="M63" s="20"/>
      <c r="N63" s="20"/>
      <c r="O63" s="20"/>
    </row>
    <row r="64" spans="1:15">
      <c r="M64" s="20"/>
      <c r="N64" s="19" t="s">
        <v>68</v>
      </c>
      <c r="O64" s="20">
        <f>SQRT(O62/58)</f>
        <v>1.1543614371531155</v>
      </c>
    </row>
    <row r="65" spans="2:15">
      <c r="M65" s="20"/>
      <c r="N65" s="19" t="s">
        <v>40</v>
      </c>
      <c r="O65" s="20">
        <f>SQRT(M62/58)</f>
        <v>0.29973007971294524</v>
      </c>
    </row>
    <row r="71" spans="2:15">
      <c r="B71" s="8"/>
    </row>
    <row r="72" spans="2:15">
      <c r="B72" s="8"/>
    </row>
    <row r="73" spans="2:15">
      <c r="B73" s="8"/>
    </row>
    <row r="74" spans="2:15">
      <c r="B74" s="8"/>
    </row>
    <row r="75" spans="2:15">
      <c r="B75" s="8"/>
    </row>
    <row r="76" spans="2:15">
      <c r="B76" s="8"/>
    </row>
    <row r="77" spans="2:15">
      <c r="B77" s="8"/>
    </row>
    <row r="78" spans="2:15">
      <c r="B78" s="8"/>
    </row>
    <row r="79" spans="2:15">
      <c r="B79" s="8"/>
    </row>
    <row r="80" spans="2:15">
      <c r="B80" s="8"/>
    </row>
    <row r="81" spans="2:2">
      <c r="B81" s="8"/>
    </row>
    <row r="82" spans="2:2">
      <c r="B82" s="8"/>
    </row>
    <row r="83" spans="2:2">
      <c r="B83" s="8"/>
    </row>
    <row r="84" spans="2:2">
      <c r="B84" s="9"/>
    </row>
    <row r="85" spans="2:2">
      <c r="B85" s="8"/>
    </row>
    <row r="86" spans="2:2">
      <c r="B86" s="8"/>
    </row>
    <row r="87" spans="2:2">
      <c r="B87" s="8"/>
    </row>
    <row r="88" spans="2:2">
      <c r="B88" s="8"/>
    </row>
    <row r="89" spans="2:2">
      <c r="B89" s="8"/>
    </row>
    <row r="90" spans="2:2">
      <c r="B90" s="8"/>
    </row>
    <row r="91" spans="2:2">
      <c r="B91" s="8"/>
    </row>
    <row r="92" spans="2:2">
      <c r="B92" s="8"/>
    </row>
    <row r="93" spans="2:2">
      <c r="B93" s="9"/>
    </row>
    <row r="94" spans="2:2">
      <c r="B94" s="9"/>
    </row>
    <row r="95" spans="2:2">
      <c r="B95" s="9"/>
    </row>
    <row r="96" spans="2:2">
      <c r="B96" s="9"/>
    </row>
    <row r="97" spans="2:2">
      <c r="B97" s="9"/>
    </row>
    <row r="98" spans="2:2">
      <c r="B98" s="9"/>
    </row>
    <row r="99" spans="2:2">
      <c r="B99" s="9"/>
    </row>
    <row r="100" spans="2:2">
      <c r="B100" s="9"/>
    </row>
    <row r="101" spans="2:2">
      <c r="B101" s="9"/>
    </row>
    <row r="102" spans="2:2">
      <c r="B102" s="9"/>
    </row>
    <row r="103" spans="2:2">
      <c r="B103" s="9"/>
    </row>
    <row r="104" spans="2:2">
      <c r="B104" s="9"/>
    </row>
    <row r="105" spans="2:2">
      <c r="B105" s="9"/>
    </row>
    <row r="106" spans="2:2">
      <c r="B106" s="9"/>
    </row>
    <row r="107" spans="2:2">
      <c r="B107" s="9"/>
    </row>
    <row r="108" spans="2:2">
      <c r="B108" s="9"/>
    </row>
    <row r="109" spans="2:2">
      <c r="B109" s="9"/>
    </row>
    <row r="110" spans="2:2">
      <c r="B110" s="8"/>
    </row>
    <row r="111" spans="2:2">
      <c r="B111" s="8"/>
    </row>
    <row r="112" spans="2:2">
      <c r="B112" s="8"/>
    </row>
    <row r="113" spans="2:2">
      <c r="B113" s="8"/>
    </row>
    <row r="114" spans="2:2">
      <c r="B114" s="8"/>
    </row>
    <row r="115" spans="2:2">
      <c r="B115" s="8"/>
    </row>
    <row r="116" spans="2:2">
      <c r="B116" s="8"/>
    </row>
    <row r="117" spans="2:2">
      <c r="B117" s="8"/>
    </row>
    <row r="118" spans="2:2">
      <c r="B118" s="8"/>
    </row>
    <row r="119" spans="2:2">
      <c r="B119" s="8"/>
    </row>
    <row r="120" spans="2:2">
      <c r="B120" s="8"/>
    </row>
    <row r="121" spans="2:2">
      <c r="B121" s="8"/>
    </row>
    <row r="122" spans="2:2">
      <c r="B122" s="8"/>
    </row>
    <row r="123" spans="2:2">
      <c r="B123" s="8"/>
    </row>
    <row r="124" spans="2:2">
      <c r="B124" s="8"/>
    </row>
    <row r="125" spans="2:2">
      <c r="B125" s="8"/>
    </row>
    <row r="126" spans="2:2">
      <c r="B126" s="8"/>
    </row>
    <row r="127" spans="2:2">
      <c r="B127" s="8"/>
    </row>
    <row r="128" spans="2:2">
      <c r="B128" s="8"/>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9204-B4B6-4043-91DA-2DC9AFD3C650}">
  <dimension ref="A1:O78"/>
  <sheetViews>
    <sheetView workbookViewId="0">
      <selection activeCell="G75" sqref="G75"/>
    </sheetView>
  </sheetViews>
  <sheetFormatPr baseColWidth="10" defaultRowHeight="16"/>
  <cols>
    <col min="1" max="1" width="15.1640625" customWidth="1"/>
    <col min="2" max="2" width="14" customWidth="1"/>
    <col min="3" max="3" width="15.5" customWidth="1"/>
    <col min="4" max="4" width="14" customWidth="1"/>
    <col min="5" max="5" width="13" customWidth="1"/>
    <col min="6" max="6" width="16.83203125" customWidth="1"/>
    <col min="7" max="7" width="19.83203125" customWidth="1"/>
    <col min="8" max="8" width="16.1640625" customWidth="1"/>
    <col min="9" max="9" width="20.1640625" customWidth="1"/>
    <col min="10" max="10" width="11.33203125" customWidth="1"/>
    <col min="11" max="11" width="13" customWidth="1"/>
    <col min="12" max="12" width="14.1640625" customWidth="1"/>
    <col min="13" max="13" width="12.6640625" customWidth="1"/>
    <col min="14" max="14" width="15.83203125" customWidth="1"/>
    <col min="15" max="15" width="17.6640625" customWidth="1"/>
  </cols>
  <sheetData>
    <row r="1" spans="1:14" ht="17">
      <c r="A1" s="10" t="s">
        <v>219</v>
      </c>
      <c r="B1" s="1"/>
      <c r="C1" s="1"/>
      <c r="D1" s="1"/>
      <c r="E1" s="1"/>
      <c r="F1" s="20"/>
      <c r="G1" s="20"/>
      <c r="H1" s="20"/>
      <c r="I1" s="20"/>
      <c r="J1" s="20"/>
      <c r="K1" s="20"/>
      <c r="L1" s="20"/>
      <c r="M1" s="20"/>
      <c r="N1" s="20"/>
    </row>
    <row r="2" spans="1:14">
      <c r="A2" s="12" t="s">
        <v>30</v>
      </c>
      <c r="B2" s="12" t="s">
        <v>31</v>
      </c>
      <c r="C2" s="13" t="s">
        <v>32</v>
      </c>
      <c r="D2" s="12" t="s">
        <v>33</v>
      </c>
      <c r="E2" s="12" t="s">
        <v>34</v>
      </c>
      <c r="F2" s="12" t="s">
        <v>35</v>
      </c>
      <c r="G2" s="12" t="s">
        <v>36</v>
      </c>
      <c r="H2" s="12" t="s">
        <v>37</v>
      </c>
      <c r="I2" s="12" t="s">
        <v>38</v>
      </c>
      <c r="J2" s="12" t="s">
        <v>39</v>
      </c>
      <c r="K2" s="14" t="s">
        <v>40</v>
      </c>
      <c r="L2" s="12" t="s">
        <v>41</v>
      </c>
      <c r="M2" s="12" t="s">
        <v>42</v>
      </c>
      <c r="N2" s="12" t="s">
        <v>43</v>
      </c>
    </row>
    <row r="3" spans="1:14">
      <c r="A3" s="15" t="s">
        <v>82</v>
      </c>
      <c r="B3" s="15" t="s">
        <v>46</v>
      </c>
      <c r="C3" s="3" t="s">
        <v>5</v>
      </c>
      <c r="D3" s="3" t="s">
        <v>47</v>
      </c>
      <c r="E3" s="1" t="s">
        <v>56</v>
      </c>
      <c r="F3" s="20">
        <v>-12.409000000000001</v>
      </c>
      <c r="G3" s="20">
        <v>0.20899999999999999</v>
      </c>
      <c r="H3" s="20">
        <v>-13.032999999999999</v>
      </c>
      <c r="I3" s="20">
        <v>0.20200000000000001</v>
      </c>
      <c r="J3" s="20">
        <f>F3-H3</f>
        <v>0.62399999999999878</v>
      </c>
      <c r="K3" s="20">
        <f>SQRT((G3)^2 + (I3)^2)</f>
        <v>0.29066303514551006</v>
      </c>
      <c r="L3" s="20">
        <f>K3^2</f>
        <v>8.4485000000000018E-2</v>
      </c>
      <c r="M3" s="8">
        <v>-0.01</v>
      </c>
      <c r="N3" s="20">
        <f>(J3-M3)^2</f>
        <v>0.40195599999999848</v>
      </c>
    </row>
    <row r="4" spans="1:14">
      <c r="A4" s="15" t="s">
        <v>82</v>
      </c>
      <c r="B4" s="15" t="s">
        <v>46</v>
      </c>
      <c r="C4" s="3" t="s">
        <v>7</v>
      </c>
      <c r="D4" s="3" t="s">
        <v>48</v>
      </c>
      <c r="E4" s="1" t="s">
        <v>57</v>
      </c>
      <c r="F4" s="20">
        <v>11.23</v>
      </c>
      <c r="G4" s="20">
        <v>0.182</v>
      </c>
      <c r="H4" s="20">
        <v>11.393000000000001</v>
      </c>
      <c r="I4" s="20">
        <v>9.1999999999999998E-2</v>
      </c>
      <c r="J4" s="20">
        <f t="shared" ref="J4:J24" si="0">F4-H4</f>
        <v>-0.16300000000000026</v>
      </c>
      <c r="K4" s="20">
        <f t="shared" ref="K4:K24" si="1">SQRT((G4)^2 + (I4)^2)</f>
        <v>0.20393136100168605</v>
      </c>
      <c r="L4" s="20">
        <f t="shared" ref="L4:L24" si="2">K4^2</f>
        <v>4.1587999999999993E-2</v>
      </c>
      <c r="M4" s="8">
        <v>0.7</v>
      </c>
      <c r="N4" s="20">
        <f t="shared" ref="N4:N24" si="3">(J4-M4)^2</f>
        <v>0.74476900000000035</v>
      </c>
    </row>
    <row r="5" spans="1:14">
      <c r="A5" s="15" t="s">
        <v>82</v>
      </c>
      <c r="B5" s="15" t="s">
        <v>46</v>
      </c>
      <c r="C5" s="3" t="s">
        <v>9</v>
      </c>
      <c r="D5" s="3" t="s">
        <v>83</v>
      </c>
      <c r="E5" s="1" t="s">
        <v>89</v>
      </c>
      <c r="F5" s="20">
        <v>-33.622</v>
      </c>
      <c r="G5" s="20">
        <v>0.41399999999999998</v>
      </c>
      <c r="H5" s="20">
        <v>-37.578000000000003</v>
      </c>
      <c r="I5" s="20">
        <v>0.16800000000000001</v>
      </c>
      <c r="J5" s="20">
        <f t="shared" si="0"/>
        <v>3.9560000000000031</v>
      </c>
      <c r="K5" s="20">
        <f t="shared" si="1"/>
        <v>0.44678854058715517</v>
      </c>
      <c r="L5" s="20">
        <f t="shared" si="2"/>
        <v>0.19961999999999999</v>
      </c>
      <c r="M5" s="8">
        <v>1.19</v>
      </c>
      <c r="N5" s="20">
        <f t="shared" si="3"/>
        <v>7.6507560000000172</v>
      </c>
    </row>
    <row r="6" spans="1:14">
      <c r="A6" s="15" t="s">
        <v>101</v>
      </c>
      <c r="B6" s="15" t="s">
        <v>46</v>
      </c>
      <c r="C6" s="3" t="s">
        <v>11</v>
      </c>
      <c r="D6" s="3" t="s">
        <v>84</v>
      </c>
      <c r="E6" s="1" t="s">
        <v>90</v>
      </c>
      <c r="F6" s="20">
        <v>-40.414999999999999</v>
      </c>
      <c r="G6" s="20">
        <v>0.307</v>
      </c>
      <c r="H6" s="20">
        <v>-41.499000000000002</v>
      </c>
      <c r="I6" s="20">
        <v>0.23400000000000001</v>
      </c>
      <c r="J6" s="20">
        <f t="shared" si="0"/>
        <v>1.0840000000000032</v>
      </c>
      <c r="K6" s="20">
        <f t="shared" si="1"/>
        <v>0.3860116578550446</v>
      </c>
      <c r="L6" s="20">
        <f t="shared" si="2"/>
        <v>0.14900500000000003</v>
      </c>
      <c r="M6" s="8">
        <v>1.28</v>
      </c>
      <c r="N6" s="20">
        <f t="shared" si="3"/>
        <v>3.8415999999998764E-2</v>
      </c>
    </row>
    <row r="7" spans="1:14">
      <c r="A7" s="15" t="s">
        <v>82</v>
      </c>
      <c r="B7" s="15" t="s">
        <v>46</v>
      </c>
      <c r="C7" s="3" t="s">
        <v>13</v>
      </c>
      <c r="D7" s="3" t="s">
        <v>49</v>
      </c>
      <c r="E7" s="1" t="s">
        <v>58</v>
      </c>
      <c r="F7" s="20">
        <v>12.587</v>
      </c>
      <c r="G7" s="20">
        <v>0.14499999999999999</v>
      </c>
      <c r="H7" s="20">
        <v>11.454000000000001</v>
      </c>
      <c r="I7" s="20">
        <v>0.09</v>
      </c>
      <c r="J7" s="20">
        <f t="shared" si="0"/>
        <v>1.1329999999999991</v>
      </c>
      <c r="K7" s="20">
        <f t="shared" si="1"/>
        <v>0.1706604816587601</v>
      </c>
      <c r="L7" s="20">
        <f t="shared" si="2"/>
        <v>2.9124999999999995E-2</v>
      </c>
      <c r="M7" s="8">
        <v>-1.28</v>
      </c>
      <c r="N7" s="20">
        <f t="shared" si="3"/>
        <v>5.822568999999997</v>
      </c>
    </row>
    <row r="8" spans="1:14">
      <c r="A8" s="15" t="s">
        <v>82</v>
      </c>
      <c r="B8" s="15" t="s">
        <v>46</v>
      </c>
      <c r="C8" s="3" t="s">
        <v>15</v>
      </c>
      <c r="D8" s="3" t="s">
        <v>50</v>
      </c>
      <c r="E8" s="1" t="s">
        <v>59</v>
      </c>
      <c r="F8" s="20">
        <v>15.212999999999999</v>
      </c>
      <c r="G8" s="20">
        <v>0.249</v>
      </c>
      <c r="H8" s="20">
        <v>13.407999999999999</v>
      </c>
      <c r="I8" s="20">
        <v>7.0000000000000007E-2</v>
      </c>
      <c r="J8" s="20">
        <f t="shared" si="0"/>
        <v>1.8049999999999997</v>
      </c>
      <c r="K8" s="20">
        <f t="shared" si="1"/>
        <v>0.25865227623200998</v>
      </c>
      <c r="L8" s="20">
        <f t="shared" si="2"/>
        <v>6.6901000000000002E-2</v>
      </c>
      <c r="M8" s="8">
        <v>1.26</v>
      </c>
      <c r="N8" s="20">
        <f t="shared" si="3"/>
        <v>0.29702499999999971</v>
      </c>
    </row>
    <row r="9" spans="1:14">
      <c r="A9" s="15" t="s">
        <v>82</v>
      </c>
      <c r="B9" s="15" t="s">
        <v>46</v>
      </c>
      <c r="C9" s="3" t="s">
        <v>16</v>
      </c>
      <c r="D9" s="3" t="s">
        <v>51</v>
      </c>
      <c r="E9" s="1" t="s">
        <v>60</v>
      </c>
      <c r="F9" s="20">
        <v>-5.4050000000000002</v>
      </c>
      <c r="G9" s="20">
        <v>0.22500000000000001</v>
      </c>
      <c r="H9" s="20">
        <v>-6.15</v>
      </c>
      <c r="I9" s="20">
        <v>9.0999999999999998E-2</v>
      </c>
      <c r="J9" s="20">
        <f t="shared" si="0"/>
        <v>0.74500000000000011</v>
      </c>
      <c r="K9" s="20">
        <f t="shared" si="1"/>
        <v>0.24270558296009592</v>
      </c>
      <c r="L9" s="20">
        <f t="shared" si="2"/>
        <v>5.8906000000000007E-2</v>
      </c>
      <c r="M9" s="8">
        <v>1.35</v>
      </c>
      <c r="N9" s="20">
        <f t="shared" si="3"/>
        <v>0.36602499999999999</v>
      </c>
    </row>
    <row r="10" spans="1:14">
      <c r="A10" s="15" t="s">
        <v>82</v>
      </c>
      <c r="B10" s="15" t="s">
        <v>46</v>
      </c>
      <c r="C10" s="3" t="s">
        <v>17</v>
      </c>
      <c r="D10" s="3" t="s">
        <v>52</v>
      </c>
      <c r="E10" s="1" t="s">
        <v>61</v>
      </c>
      <c r="F10" s="20">
        <v>69.421000000000006</v>
      </c>
      <c r="G10" s="20">
        <v>0.41299999999999998</v>
      </c>
      <c r="H10" s="20">
        <v>70.144000000000005</v>
      </c>
      <c r="I10" s="20">
        <v>2.5999999999999999E-2</v>
      </c>
      <c r="J10" s="20">
        <f t="shared" si="0"/>
        <v>-0.72299999999999898</v>
      </c>
      <c r="K10" s="20">
        <f t="shared" si="1"/>
        <v>0.41381759266614077</v>
      </c>
      <c r="L10" s="20">
        <f t="shared" si="2"/>
        <v>0.17124500000000001</v>
      </c>
      <c r="M10" s="8">
        <v>1.76</v>
      </c>
      <c r="N10" s="20">
        <f t="shared" si="3"/>
        <v>6.1652889999999942</v>
      </c>
    </row>
    <row r="11" spans="1:14">
      <c r="A11" s="15" t="s">
        <v>82</v>
      </c>
      <c r="B11" s="15" t="s">
        <v>46</v>
      </c>
      <c r="C11" s="3" t="s">
        <v>18</v>
      </c>
      <c r="D11" s="3" t="s">
        <v>85</v>
      </c>
      <c r="E11" s="1" t="s">
        <v>91</v>
      </c>
      <c r="F11" s="20">
        <v>-6.8070000000000004</v>
      </c>
      <c r="G11" s="20">
        <v>0.33900000000000002</v>
      </c>
      <c r="H11" s="20">
        <v>-6.8540000000000001</v>
      </c>
      <c r="I11" s="20">
        <v>0.27700000000000002</v>
      </c>
      <c r="J11" s="20">
        <f t="shared" si="0"/>
        <v>4.6999999999999709E-2</v>
      </c>
      <c r="K11" s="20">
        <f t="shared" si="1"/>
        <v>0.4377784827969507</v>
      </c>
      <c r="L11" s="20">
        <f t="shared" si="2"/>
        <v>0.19165000000000007</v>
      </c>
      <c r="M11" s="8">
        <v>0.54</v>
      </c>
      <c r="N11" s="20">
        <f t="shared" si="3"/>
        <v>0.24304900000000032</v>
      </c>
    </row>
    <row r="12" spans="1:14">
      <c r="A12" s="15" t="s">
        <v>82</v>
      </c>
      <c r="B12" s="15" t="s">
        <v>46</v>
      </c>
      <c r="C12" s="3" t="s">
        <v>20</v>
      </c>
      <c r="D12" s="3" t="s">
        <v>53</v>
      </c>
      <c r="E12" s="1" t="s">
        <v>62</v>
      </c>
      <c r="F12" s="20">
        <v>46.38</v>
      </c>
      <c r="G12" s="20">
        <v>0.126</v>
      </c>
      <c r="H12" s="20">
        <v>45.868000000000002</v>
      </c>
      <c r="I12" s="20">
        <v>0.08</v>
      </c>
      <c r="J12" s="20">
        <f t="shared" si="0"/>
        <v>0.51200000000000045</v>
      </c>
      <c r="K12" s="20">
        <f t="shared" si="1"/>
        <v>0.14925146565444508</v>
      </c>
      <c r="L12" s="20">
        <f t="shared" si="2"/>
        <v>2.2276000000000001E-2</v>
      </c>
      <c r="M12" s="8">
        <v>-0.35</v>
      </c>
      <c r="N12" s="20">
        <f t="shared" si="3"/>
        <v>0.7430440000000007</v>
      </c>
    </row>
    <row r="13" spans="1:14">
      <c r="A13" s="15" t="s">
        <v>82</v>
      </c>
      <c r="B13" s="15" t="s">
        <v>46</v>
      </c>
      <c r="C13" s="3" t="s">
        <v>22</v>
      </c>
      <c r="D13" s="3" t="s">
        <v>54</v>
      </c>
      <c r="E13" s="1" t="s">
        <v>63</v>
      </c>
      <c r="F13" s="20">
        <v>-2.5150000000000001</v>
      </c>
      <c r="G13" s="20">
        <v>0.13100000000000001</v>
      </c>
      <c r="H13" s="20">
        <v>-2.371</v>
      </c>
      <c r="I13" s="20">
        <v>0.10299999999999999</v>
      </c>
      <c r="J13" s="20">
        <f t="shared" si="0"/>
        <v>-0.14400000000000013</v>
      </c>
      <c r="K13" s="20">
        <f t="shared" si="1"/>
        <v>0.1666433316997713</v>
      </c>
      <c r="L13" s="20">
        <f t="shared" si="2"/>
        <v>2.7770000000000003E-2</v>
      </c>
      <c r="M13" s="8">
        <v>0.52</v>
      </c>
      <c r="N13" s="20">
        <f t="shared" si="3"/>
        <v>0.44089600000000018</v>
      </c>
    </row>
    <row r="14" spans="1:14">
      <c r="A14" s="15" t="s">
        <v>82</v>
      </c>
      <c r="B14" s="15" t="s">
        <v>46</v>
      </c>
      <c r="C14" s="3" t="s">
        <v>23</v>
      </c>
      <c r="D14" s="3" t="s">
        <v>55</v>
      </c>
      <c r="E14" s="1" t="s">
        <v>64</v>
      </c>
      <c r="F14" s="20">
        <v>-4.2750000000000004</v>
      </c>
      <c r="G14" s="20">
        <v>0.29199999999999998</v>
      </c>
      <c r="H14" s="20">
        <v>-4.6749999999999998</v>
      </c>
      <c r="I14" s="20">
        <v>0.09</v>
      </c>
      <c r="J14" s="20">
        <f t="shared" si="0"/>
        <v>0.39999999999999947</v>
      </c>
      <c r="K14" s="20">
        <f t="shared" si="1"/>
        <v>0.30555523232306137</v>
      </c>
      <c r="L14" s="20">
        <f t="shared" si="2"/>
        <v>9.3364000000000003E-2</v>
      </c>
      <c r="M14" s="8">
        <v>1.08</v>
      </c>
      <c r="N14" s="20">
        <f t="shared" si="3"/>
        <v>0.46240000000000081</v>
      </c>
    </row>
    <row r="15" spans="1:14">
      <c r="A15" s="15" t="s">
        <v>101</v>
      </c>
      <c r="B15" s="15" t="s">
        <v>46</v>
      </c>
      <c r="C15" s="4" t="s">
        <v>24</v>
      </c>
      <c r="D15" s="3" t="s">
        <v>86</v>
      </c>
      <c r="E15" s="1" t="s">
        <v>92</v>
      </c>
      <c r="F15" s="20">
        <v>-8.4879999999999995</v>
      </c>
      <c r="G15" s="20">
        <v>0.107</v>
      </c>
      <c r="H15" s="20">
        <v>-9.1780000000000008</v>
      </c>
      <c r="I15" s="20">
        <v>0.22900000000000001</v>
      </c>
      <c r="J15" s="20">
        <f t="shared" si="0"/>
        <v>0.69000000000000128</v>
      </c>
      <c r="K15" s="20">
        <f t="shared" si="1"/>
        <v>0.25276471272707352</v>
      </c>
      <c r="L15" s="20">
        <f t="shared" si="2"/>
        <v>6.3890000000000002E-2</v>
      </c>
      <c r="M15" s="8">
        <v>1.42</v>
      </c>
      <c r="N15" s="20">
        <f t="shared" si="3"/>
        <v>0.53289999999999804</v>
      </c>
    </row>
    <row r="16" spans="1:14">
      <c r="A16" s="15" t="s">
        <v>82</v>
      </c>
      <c r="B16" s="15" t="s">
        <v>46</v>
      </c>
      <c r="C16" s="8" t="s">
        <v>27</v>
      </c>
      <c r="D16" s="9" t="s">
        <v>28</v>
      </c>
      <c r="E16" s="1" t="s">
        <v>65</v>
      </c>
      <c r="F16" s="20">
        <v>-8.1370000000000005</v>
      </c>
      <c r="G16" s="20">
        <v>0.107</v>
      </c>
      <c r="H16" s="20">
        <v>-8.5500000000000007</v>
      </c>
      <c r="I16" s="20">
        <v>9.1923879999999999E-2</v>
      </c>
      <c r="J16" s="20">
        <f t="shared" si="0"/>
        <v>0.41300000000000026</v>
      </c>
      <c r="K16" s="20">
        <f t="shared" si="1"/>
        <v>0.14106381433328108</v>
      </c>
      <c r="L16" s="20">
        <f t="shared" si="2"/>
        <v>1.9898999714254396E-2</v>
      </c>
      <c r="M16" s="9">
        <v>-0.21</v>
      </c>
      <c r="N16" s="20">
        <f t="shared" si="3"/>
        <v>0.38812900000000028</v>
      </c>
    </row>
    <row r="17" spans="1:14">
      <c r="A17" s="15" t="s">
        <v>82</v>
      </c>
      <c r="B17" s="15" t="s">
        <v>46</v>
      </c>
      <c r="C17" s="3" t="s">
        <v>25</v>
      </c>
      <c r="D17" s="3" t="s">
        <v>87</v>
      </c>
      <c r="E17" s="1" t="s">
        <v>93</v>
      </c>
      <c r="F17" s="20">
        <v>71.343999999999994</v>
      </c>
      <c r="G17" s="20">
        <v>0.19900000000000001</v>
      </c>
      <c r="H17" s="20">
        <v>69.974999999999994</v>
      </c>
      <c r="I17" s="20">
        <v>0.26800000000000002</v>
      </c>
      <c r="J17" s="20">
        <f t="shared" si="0"/>
        <v>1.3689999999999998</v>
      </c>
      <c r="K17" s="20">
        <f t="shared" si="1"/>
        <v>0.33380383460949042</v>
      </c>
      <c r="L17" s="20">
        <f t="shared" si="2"/>
        <v>0.11142500000000004</v>
      </c>
      <c r="M17" s="8">
        <v>1.1100000000000001</v>
      </c>
      <c r="N17" s="20">
        <f t="shared" si="3"/>
        <v>6.7080999999999835E-2</v>
      </c>
    </row>
    <row r="18" spans="1:14">
      <c r="A18" s="15" t="s">
        <v>101</v>
      </c>
      <c r="B18" s="15" t="s">
        <v>46</v>
      </c>
      <c r="C18" s="3" t="s">
        <v>26</v>
      </c>
      <c r="D18" s="3" t="s">
        <v>88</v>
      </c>
      <c r="E18" s="1" t="s">
        <v>94</v>
      </c>
      <c r="F18" s="20">
        <v>-35.639000000000003</v>
      </c>
      <c r="G18" s="20">
        <v>0.38500000000000001</v>
      </c>
      <c r="H18" s="20">
        <v>-40.424999999999997</v>
      </c>
      <c r="I18" s="20">
        <v>0.127</v>
      </c>
      <c r="J18" s="20">
        <f t="shared" si="0"/>
        <v>4.7859999999999943</v>
      </c>
      <c r="K18" s="20">
        <f t="shared" si="1"/>
        <v>0.4054059693689771</v>
      </c>
      <c r="L18" s="20">
        <f t="shared" si="2"/>
        <v>0.164354</v>
      </c>
      <c r="M18" s="8">
        <v>4.45</v>
      </c>
      <c r="N18" s="20">
        <f t="shared" si="3"/>
        <v>0.11289599999999603</v>
      </c>
    </row>
    <row r="19" spans="1:14">
      <c r="A19" s="15" t="s">
        <v>82</v>
      </c>
      <c r="B19" s="1" t="s">
        <v>70</v>
      </c>
      <c r="C19" s="3" t="s">
        <v>4</v>
      </c>
      <c r="D19" s="3" t="s">
        <v>71</v>
      </c>
      <c r="E19" s="1" t="s">
        <v>75</v>
      </c>
      <c r="F19" s="20">
        <v>46.597000000000001</v>
      </c>
      <c r="G19" s="20">
        <v>0.13800000000000001</v>
      </c>
      <c r="H19" s="20">
        <v>46.381</v>
      </c>
      <c r="I19" s="20">
        <v>7.5999999999999998E-2</v>
      </c>
      <c r="J19" s="20">
        <f t="shared" si="0"/>
        <v>0.21600000000000108</v>
      </c>
      <c r="K19" s="20">
        <f t="shared" si="1"/>
        <v>0.15754364474646385</v>
      </c>
      <c r="L19" s="20">
        <f t="shared" si="2"/>
        <v>2.4820000000000005E-2</v>
      </c>
      <c r="M19" s="8">
        <v>-0.24</v>
      </c>
      <c r="N19" s="20">
        <f t="shared" si="3"/>
        <v>0.20793600000000098</v>
      </c>
    </row>
    <row r="20" spans="1:14">
      <c r="A20" s="15" t="s">
        <v>101</v>
      </c>
      <c r="B20" s="1" t="s">
        <v>70</v>
      </c>
      <c r="C20" s="6" t="s">
        <v>6</v>
      </c>
      <c r="D20" s="3" t="s">
        <v>72</v>
      </c>
      <c r="E20" s="1" t="s">
        <v>76</v>
      </c>
      <c r="F20" s="20">
        <v>-8.8770000000000007</v>
      </c>
      <c r="G20" s="20">
        <v>2.9000000000000001E-2</v>
      </c>
      <c r="H20" s="20">
        <v>-8.4480000000000004</v>
      </c>
      <c r="I20" s="20">
        <v>0.115</v>
      </c>
      <c r="J20" s="20">
        <f t="shared" si="0"/>
        <v>-0.42900000000000027</v>
      </c>
      <c r="K20" s="20">
        <f t="shared" si="1"/>
        <v>0.11860016863394419</v>
      </c>
      <c r="L20" s="20">
        <f t="shared" si="2"/>
        <v>1.4066E-2</v>
      </c>
      <c r="M20" s="8">
        <v>0.97</v>
      </c>
      <c r="N20" s="20">
        <f t="shared" si="3"/>
        <v>1.9572010000000006</v>
      </c>
    </row>
    <row r="21" spans="1:14">
      <c r="A21" s="15" t="s">
        <v>101</v>
      </c>
      <c r="B21" s="1" t="s">
        <v>70</v>
      </c>
      <c r="C21" s="6" t="s">
        <v>8</v>
      </c>
      <c r="D21" s="3" t="s">
        <v>73</v>
      </c>
      <c r="E21" s="1" t="s">
        <v>77</v>
      </c>
      <c r="F21" s="20">
        <v>-8.3810000000000002</v>
      </c>
      <c r="G21" s="20">
        <v>6.2E-2</v>
      </c>
      <c r="H21" s="20">
        <v>-8.2289999999999992</v>
      </c>
      <c r="I21" s="20">
        <v>7.2999999999999995E-2</v>
      </c>
      <c r="J21" s="20">
        <f t="shared" si="0"/>
        <v>-0.15200000000000102</v>
      </c>
      <c r="K21" s="20">
        <f t="shared" si="1"/>
        <v>9.5775779819325918E-2</v>
      </c>
      <c r="L21" s="20">
        <f t="shared" si="2"/>
        <v>9.1729999999999971E-3</v>
      </c>
      <c r="M21" s="8">
        <v>-0.15</v>
      </c>
      <c r="N21" s="20">
        <f t="shared" si="3"/>
        <v>4.0000000000041147E-6</v>
      </c>
    </row>
    <row r="22" spans="1:14">
      <c r="A22" s="15" t="s">
        <v>101</v>
      </c>
      <c r="B22" s="1" t="s">
        <v>70</v>
      </c>
      <c r="C22" s="6" t="s">
        <v>10</v>
      </c>
      <c r="D22" s="3" t="s">
        <v>103</v>
      </c>
      <c r="E22" s="1" t="s">
        <v>105</v>
      </c>
      <c r="F22" s="20">
        <v>-5.702</v>
      </c>
      <c r="G22" s="20">
        <v>0.24099999999999999</v>
      </c>
      <c r="H22" s="20">
        <v>-7.9630000000000001</v>
      </c>
      <c r="I22" s="20">
        <v>9.6000000000000002E-2</v>
      </c>
      <c r="J22" s="20">
        <f t="shared" si="0"/>
        <v>2.2610000000000001</v>
      </c>
      <c r="K22" s="20">
        <f t="shared" si="1"/>
        <v>0.25941665328193564</v>
      </c>
      <c r="L22" s="20">
        <f t="shared" si="2"/>
        <v>6.729700000000001E-2</v>
      </c>
      <c r="M22" s="8">
        <v>2.0099999999999998</v>
      </c>
      <c r="N22" s="20">
        <f t="shared" si="3"/>
        <v>6.3001000000000168E-2</v>
      </c>
    </row>
    <row r="23" spans="1:14">
      <c r="A23" s="15" t="s">
        <v>82</v>
      </c>
      <c r="B23" s="1" t="s">
        <v>70</v>
      </c>
      <c r="C23" s="3" t="s">
        <v>12</v>
      </c>
      <c r="D23" s="3" t="s">
        <v>104</v>
      </c>
      <c r="E23" s="1" t="s">
        <v>106</v>
      </c>
      <c r="F23" s="20">
        <v>-23.72</v>
      </c>
      <c r="G23" s="20">
        <v>0.11700000000000001</v>
      </c>
      <c r="H23" s="20">
        <v>-23.588999999999999</v>
      </c>
      <c r="I23" s="20">
        <v>0.14099999999999999</v>
      </c>
      <c r="J23" s="20">
        <f t="shared" si="0"/>
        <v>-0.13100000000000023</v>
      </c>
      <c r="K23" s="20">
        <f t="shared" si="1"/>
        <v>0.18322117781522965</v>
      </c>
      <c r="L23" s="20">
        <f t="shared" si="2"/>
        <v>3.3570000000000003E-2</v>
      </c>
      <c r="M23" s="8">
        <v>0.85</v>
      </c>
      <c r="N23" s="20">
        <f t="shared" si="3"/>
        <v>0.96236100000000036</v>
      </c>
    </row>
    <row r="24" spans="1:14">
      <c r="A24" s="15" t="s">
        <v>82</v>
      </c>
      <c r="B24" s="1" t="s">
        <v>70</v>
      </c>
      <c r="C24" s="3" t="s">
        <v>14</v>
      </c>
      <c r="D24" s="3" t="s">
        <v>74</v>
      </c>
      <c r="E24" s="1" t="s">
        <v>78</v>
      </c>
      <c r="F24" s="20">
        <v>-11.115</v>
      </c>
      <c r="G24" s="20">
        <v>0.28299999999999997</v>
      </c>
      <c r="H24" s="20">
        <v>-10.105</v>
      </c>
      <c r="I24" s="20">
        <v>0.123</v>
      </c>
      <c r="J24" s="20">
        <f t="shared" si="0"/>
        <v>-1.0099999999999998</v>
      </c>
      <c r="K24" s="20">
        <f t="shared" si="1"/>
        <v>0.30857414019972573</v>
      </c>
      <c r="L24" s="20">
        <f t="shared" si="2"/>
        <v>9.5217999999999997E-2</v>
      </c>
      <c r="M24" s="8">
        <v>-0.78</v>
      </c>
      <c r="N24" s="20">
        <f t="shared" si="3"/>
        <v>5.2899999999999892E-2</v>
      </c>
    </row>
    <row r="25" spans="1:14">
      <c r="L25" s="18" t="s">
        <v>67</v>
      </c>
      <c r="M25" s="18"/>
      <c r="N25" s="18" t="s">
        <v>67</v>
      </c>
    </row>
    <row r="26" spans="1:14">
      <c r="L26" s="20">
        <f>SUM(L3:L24)</f>
        <v>1.7396469997142547</v>
      </c>
      <c r="M26" s="1"/>
      <c r="N26" s="20">
        <f>SUM(N3:N24)</f>
        <v>27.720603000000001</v>
      </c>
    </row>
    <row r="28" spans="1:14">
      <c r="M28" s="19" t="s">
        <v>68</v>
      </c>
      <c r="N28" s="20">
        <f>SQRT(N26/22)</f>
        <v>1.122509424945247</v>
      </c>
    </row>
    <row r="29" spans="1:14">
      <c r="M29" s="19" t="s">
        <v>40</v>
      </c>
      <c r="N29" s="20">
        <f>SQRT(L26/22)</f>
        <v>0.28120253132462236</v>
      </c>
    </row>
    <row r="31" spans="1:14">
      <c r="A31" s="40" t="s">
        <v>217</v>
      </c>
    </row>
    <row r="32" spans="1:14">
      <c r="A32" s="12" t="s">
        <v>30</v>
      </c>
      <c r="B32" s="12" t="s">
        <v>31</v>
      </c>
      <c r="C32" s="13" t="s">
        <v>32</v>
      </c>
      <c r="D32" s="12" t="s">
        <v>33</v>
      </c>
      <c r="E32" s="12" t="s">
        <v>34</v>
      </c>
      <c r="F32" s="12" t="s">
        <v>35</v>
      </c>
      <c r="G32" s="12" t="s">
        <v>36</v>
      </c>
      <c r="H32" s="12" t="s">
        <v>37</v>
      </c>
      <c r="I32" s="12" t="s">
        <v>38</v>
      </c>
      <c r="J32" s="12" t="s">
        <v>39</v>
      </c>
      <c r="K32" s="14" t="s">
        <v>40</v>
      </c>
      <c r="L32" s="12" t="s">
        <v>41</v>
      </c>
      <c r="M32" s="12" t="s">
        <v>42</v>
      </c>
      <c r="N32" s="12" t="s">
        <v>43</v>
      </c>
    </row>
    <row r="33" spans="1:15">
      <c r="A33" s="15" t="s">
        <v>101</v>
      </c>
      <c r="B33" s="15" t="s">
        <v>46</v>
      </c>
      <c r="C33" s="41" t="s">
        <v>24</v>
      </c>
      <c r="D33" s="8" t="s">
        <v>86</v>
      </c>
      <c r="E33" s="20" t="s">
        <v>92</v>
      </c>
      <c r="F33" s="20">
        <v>-8.4879999999999995</v>
      </c>
      <c r="G33" s="20">
        <v>0.107</v>
      </c>
      <c r="H33" s="20">
        <v>-9.1780000000000008</v>
      </c>
      <c r="I33" s="20">
        <v>0.22900000000000001</v>
      </c>
      <c r="J33" s="20">
        <f t="shared" ref="J33:J36" si="4">F33-H33</f>
        <v>0.69000000000000128</v>
      </c>
      <c r="K33" s="20">
        <f t="shared" ref="K33:K36" si="5">SQRT((G33)^2 + (I33)^2)</f>
        <v>0.25276471272707352</v>
      </c>
      <c r="L33" s="20">
        <f t="shared" ref="L33:L36" si="6">K33^2</f>
        <v>6.3890000000000002E-2</v>
      </c>
      <c r="M33" s="8">
        <v>1.42</v>
      </c>
      <c r="N33" s="20">
        <f t="shared" ref="N33:N36" si="7">(J33-M33)^2</f>
        <v>0.53289999999999804</v>
      </c>
    </row>
    <row r="34" spans="1:15">
      <c r="A34" s="15" t="s">
        <v>101</v>
      </c>
      <c r="B34" s="20" t="s">
        <v>70</v>
      </c>
      <c r="C34" s="42" t="s">
        <v>6</v>
      </c>
      <c r="D34" s="8" t="s">
        <v>72</v>
      </c>
      <c r="E34" s="20" t="s">
        <v>76</v>
      </c>
      <c r="F34" s="20">
        <v>-8.8770000000000007</v>
      </c>
      <c r="G34" s="20">
        <v>2.9000000000000001E-2</v>
      </c>
      <c r="H34" s="20">
        <v>-8.4480000000000004</v>
      </c>
      <c r="I34" s="20">
        <v>0.115</v>
      </c>
      <c r="J34" s="20">
        <f t="shared" si="4"/>
        <v>-0.42900000000000027</v>
      </c>
      <c r="K34" s="20">
        <f t="shared" si="5"/>
        <v>0.11860016863394419</v>
      </c>
      <c r="L34" s="20">
        <f t="shared" si="6"/>
        <v>1.4066E-2</v>
      </c>
      <c r="M34" s="8">
        <v>0.97</v>
      </c>
      <c r="N34" s="20">
        <f t="shared" si="7"/>
        <v>1.9572010000000006</v>
      </c>
    </row>
    <row r="35" spans="1:15">
      <c r="A35" s="15" t="s">
        <v>101</v>
      </c>
      <c r="B35" s="20" t="s">
        <v>70</v>
      </c>
      <c r="C35" s="42" t="s">
        <v>8</v>
      </c>
      <c r="D35" s="8" t="s">
        <v>73</v>
      </c>
      <c r="E35" s="20" t="s">
        <v>77</v>
      </c>
      <c r="F35" s="20">
        <v>-8.3810000000000002</v>
      </c>
      <c r="G35" s="20">
        <v>6.2E-2</v>
      </c>
      <c r="H35" s="20">
        <v>-8.2289999999999992</v>
      </c>
      <c r="I35" s="20">
        <v>7.2999999999999995E-2</v>
      </c>
      <c r="J35" s="20">
        <f t="shared" si="4"/>
        <v>-0.15200000000000102</v>
      </c>
      <c r="K35" s="20">
        <f t="shared" si="5"/>
        <v>9.5775779819325918E-2</v>
      </c>
      <c r="L35" s="20">
        <f t="shared" si="6"/>
        <v>9.1729999999999971E-3</v>
      </c>
      <c r="M35" s="8">
        <v>-0.15</v>
      </c>
      <c r="N35" s="20">
        <f t="shared" si="7"/>
        <v>4.0000000000041147E-6</v>
      </c>
    </row>
    <row r="36" spans="1:15">
      <c r="A36" s="15" t="s">
        <v>101</v>
      </c>
      <c r="B36" s="20" t="s">
        <v>70</v>
      </c>
      <c r="C36" s="42" t="s">
        <v>10</v>
      </c>
      <c r="D36" s="8" t="s">
        <v>103</v>
      </c>
      <c r="E36" s="20" t="s">
        <v>105</v>
      </c>
      <c r="F36" s="20">
        <v>-5.702</v>
      </c>
      <c r="G36" s="20">
        <v>0.24099999999999999</v>
      </c>
      <c r="H36" s="20">
        <v>-7.9630000000000001</v>
      </c>
      <c r="I36" s="20">
        <v>9.6000000000000002E-2</v>
      </c>
      <c r="J36" s="20">
        <f t="shared" si="4"/>
        <v>2.2610000000000001</v>
      </c>
      <c r="K36" s="20">
        <f t="shared" si="5"/>
        <v>0.25941665328193564</v>
      </c>
      <c r="L36" s="20">
        <f t="shared" si="6"/>
        <v>6.729700000000001E-2</v>
      </c>
      <c r="M36" s="8">
        <v>2.0099999999999998</v>
      </c>
      <c r="N36" s="20">
        <f t="shared" si="7"/>
        <v>6.3001000000000168E-2</v>
      </c>
    </row>
    <row r="37" spans="1:15">
      <c r="A37" s="11"/>
      <c r="B37" s="11"/>
      <c r="C37" s="11"/>
      <c r="D37" s="11"/>
      <c r="E37" s="11"/>
      <c r="F37" s="11"/>
      <c r="G37" s="11"/>
      <c r="H37" s="11"/>
      <c r="I37" s="11"/>
      <c r="J37" s="11"/>
      <c r="K37" s="11"/>
      <c r="L37" s="11"/>
      <c r="M37" s="11"/>
      <c r="N37" s="11"/>
    </row>
    <row r="38" spans="1:15">
      <c r="A38" s="11"/>
      <c r="B38" s="11"/>
      <c r="C38" s="11"/>
      <c r="D38" s="11"/>
      <c r="E38" s="11"/>
      <c r="F38" s="11"/>
      <c r="G38" s="11"/>
      <c r="H38" s="11"/>
      <c r="I38" s="11"/>
      <c r="J38" s="11"/>
      <c r="K38" s="11"/>
      <c r="L38" s="11"/>
      <c r="M38" s="11"/>
      <c r="N38" s="11"/>
    </row>
    <row r="39" spans="1:15">
      <c r="A39" s="11"/>
      <c r="B39" s="11"/>
      <c r="C39" s="11"/>
      <c r="D39" s="11"/>
      <c r="E39" s="11"/>
      <c r="F39" s="11"/>
      <c r="G39" s="11"/>
      <c r="H39" s="11"/>
      <c r="I39" s="11"/>
      <c r="J39" s="11"/>
      <c r="K39" s="11"/>
      <c r="L39" s="11"/>
      <c r="M39" s="11"/>
      <c r="N39" s="11"/>
    </row>
    <row r="40" spans="1:15">
      <c r="A40" s="43" t="s">
        <v>218</v>
      </c>
      <c r="B40" s="11"/>
      <c r="C40" s="11"/>
      <c r="D40" s="11"/>
      <c r="E40" s="11"/>
      <c r="F40" s="11"/>
      <c r="G40" s="11"/>
      <c r="H40" s="11"/>
      <c r="I40" s="11"/>
      <c r="J40" s="11"/>
      <c r="K40" s="11"/>
      <c r="L40" s="11"/>
      <c r="M40" s="11"/>
      <c r="N40" s="11"/>
    </row>
    <row r="41" spans="1:15">
      <c r="A41" s="12" t="s">
        <v>30</v>
      </c>
      <c r="B41" s="12" t="s">
        <v>31</v>
      </c>
      <c r="C41" s="13" t="s">
        <v>32</v>
      </c>
      <c r="D41" s="12" t="s">
        <v>33</v>
      </c>
      <c r="E41" s="12" t="s">
        <v>34</v>
      </c>
      <c r="F41" s="12" t="s">
        <v>35</v>
      </c>
      <c r="G41" s="12" t="s">
        <v>36</v>
      </c>
      <c r="H41" s="12" t="s">
        <v>37</v>
      </c>
      <c r="I41" s="12" t="s">
        <v>38</v>
      </c>
      <c r="J41" s="12" t="s">
        <v>39</v>
      </c>
      <c r="K41" s="14" t="s">
        <v>40</v>
      </c>
      <c r="L41" s="12" t="s">
        <v>41</v>
      </c>
      <c r="M41" s="12" t="s">
        <v>42</v>
      </c>
      <c r="N41" s="12" t="s">
        <v>43</v>
      </c>
      <c r="O41" s="12" t="s">
        <v>44</v>
      </c>
    </row>
    <row r="42" spans="1:15">
      <c r="A42" s="15" t="s">
        <v>101</v>
      </c>
      <c r="B42" s="15" t="s">
        <v>46</v>
      </c>
      <c r="C42" s="41" t="s">
        <v>24</v>
      </c>
      <c r="D42" s="8" t="s">
        <v>86</v>
      </c>
      <c r="E42" s="20" t="s">
        <v>92</v>
      </c>
      <c r="F42" s="20">
        <v>-8.8390000000000004</v>
      </c>
      <c r="G42" s="20">
        <v>0.2878906</v>
      </c>
      <c r="H42" s="20">
        <v>-9.1780000000000008</v>
      </c>
      <c r="I42" s="20">
        <v>0.22900000000000001</v>
      </c>
      <c r="J42" s="20">
        <f>(F42-H42)</f>
        <v>0.33900000000000041</v>
      </c>
      <c r="K42" s="20">
        <f>SQRT((G42)^2 + (I42)^2)</f>
        <v>0.36786138363296572</v>
      </c>
      <c r="L42" s="20">
        <f>K42^2</f>
        <v>0.13532199756835997</v>
      </c>
      <c r="M42" s="8">
        <v>1.42</v>
      </c>
      <c r="N42" s="20">
        <f>(J42-M42)^2</f>
        <v>1.1685609999999989</v>
      </c>
      <c r="O42" s="20" t="s">
        <v>224</v>
      </c>
    </row>
    <row r="43" spans="1:15">
      <c r="A43" s="15" t="s">
        <v>101</v>
      </c>
      <c r="B43" s="20" t="s">
        <v>70</v>
      </c>
      <c r="C43" s="42" t="s">
        <v>6</v>
      </c>
      <c r="D43" s="8" t="s">
        <v>72</v>
      </c>
      <c r="E43" s="20" t="s">
        <v>76</v>
      </c>
      <c r="F43" s="20">
        <v>-8.9540000000000006</v>
      </c>
      <c r="G43" s="20">
        <v>3.8275320000000002E-2</v>
      </c>
      <c r="H43" s="20">
        <v>-8.4480000000000004</v>
      </c>
      <c r="I43" s="20">
        <v>0.115</v>
      </c>
      <c r="J43" s="20">
        <f t="shared" ref="J43:J45" si="8">(F43-H43)</f>
        <v>-0.50600000000000023</v>
      </c>
      <c r="K43" s="20">
        <f t="shared" ref="K43:K45" si="9">SQRT((G43)^2 + (I43)^2)</f>
        <v>0.12120231070859334</v>
      </c>
      <c r="L43" s="20">
        <f t="shared" ref="L43:L45" si="10">K43^2</f>
        <v>1.4690000121102401E-2</v>
      </c>
      <c r="M43" s="8">
        <v>0.97</v>
      </c>
      <c r="N43" s="20">
        <f t="shared" ref="N43:N45" si="11">(J43-M43)^2</f>
        <v>2.1785760000000005</v>
      </c>
      <c r="O43" s="20" t="s">
        <v>223</v>
      </c>
    </row>
    <row r="44" spans="1:15">
      <c r="A44" s="15" t="s">
        <v>101</v>
      </c>
      <c r="B44" s="20" t="s">
        <v>70</v>
      </c>
      <c r="C44" s="42" t="s">
        <v>8</v>
      </c>
      <c r="D44" s="8" t="s">
        <v>73</v>
      </c>
      <c r="E44" s="20" t="s">
        <v>77</v>
      </c>
      <c r="F44" s="20">
        <v>-8.3580000000000005</v>
      </c>
      <c r="G44" s="20">
        <v>0.12831602</v>
      </c>
      <c r="H44" s="20">
        <v>-8.2289999999999992</v>
      </c>
      <c r="I44" s="20">
        <v>7.2999999999999995E-2</v>
      </c>
      <c r="J44" s="20">
        <f t="shared" si="8"/>
        <v>-0.12900000000000134</v>
      </c>
      <c r="K44" s="20">
        <f t="shared" si="9"/>
        <v>0.14762791398865052</v>
      </c>
      <c r="L44" s="20">
        <f t="shared" si="10"/>
        <v>2.1794000988640396E-2</v>
      </c>
      <c r="M44" s="8">
        <v>-0.15</v>
      </c>
      <c r="N44" s="20">
        <f t="shared" si="11"/>
        <v>4.4099999999994366E-4</v>
      </c>
      <c r="O44" s="20" t="s">
        <v>223</v>
      </c>
    </row>
    <row r="45" spans="1:15">
      <c r="A45" s="15" t="s">
        <v>101</v>
      </c>
      <c r="B45" s="20" t="s">
        <v>70</v>
      </c>
      <c r="C45" s="42" t="s">
        <v>10</v>
      </c>
      <c r="D45" s="8" t="s">
        <v>103</v>
      </c>
      <c r="E45" s="20" t="s">
        <v>105</v>
      </c>
      <c r="F45" s="20">
        <v>-6.2750000000000004</v>
      </c>
      <c r="G45" s="20">
        <v>0.26986293</v>
      </c>
      <c r="H45" s="20">
        <v>-7.9630000000000001</v>
      </c>
      <c r="I45" s="20">
        <v>9.6000000000000002E-2</v>
      </c>
      <c r="J45" s="20">
        <f t="shared" si="8"/>
        <v>1.6879999999999997</v>
      </c>
      <c r="K45" s="20">
        <f t="shared" si="9"/>
        <v>0.28642974878351046</v>
      </c>
      <c r="L45" s="20">
        <f t="shared" si="10"/>
        <v>8.2042000988184913E-2</v>
      </c>
      <c r="M45" s="8">
        <v>2.0099999999999998</v>
      </c>
      <c r="N45" s="20">
        <f t="shared" si="11"/>
        <v>0.10368400000000004</v>
      </c>
      <c r="O45" s="20" t="s">
        <v>223</v>
      </c>
    </row>
    <row r="46" spans="1:15">
      <c r="A46" s="11"/>
      <c r="B46" s="11"/>
      <c r="C46" s="11"/>
      <c r="D46" s="11"/>
      <c r="E46" s="11"/>
      <c r="F46" s="20"/>
      <c r="G46" s="20"/>
      <c r="H46" s="20"/>
      <c r="I46" s="20"/>
      <c r="J46" s="20"/>
      <c r="K46" s="20"/>
      <c r="L46" s="20"/>
      <c r="M46" s="20"/>
      <c r="N46" s="20"/>
    </row>
    <row r="47" spans="1:15">
      <c r="A47" s="11"/>
      <c r="B47" s="11"/>
      <c r="C47" s="11"/>
      <c r="D47" s="11"/>
      <c r="E47" s="11"/>
      <c r="F47" s="20"/>
      <c r="G47" s="20"/>
      <c r="H47" s="20"/>
      <c r="I47" s="20"/>
      <c r="J47" s="20"/>
      <c r="K47" s="20"/>
      <c r="L47" s="20"/>
      <c r="M47" s="20"/>
      <c r="N47" s="20"/>
    </row>
    <row r="48" spans="1:15">
      <c r="A48" s="11"/>
      <c r="B48" s="11"/>
      <c r="C48" s="11"/>
      <c r="D48" s="11"/>
      <c r="E48" s="11"/>
      <c r="F48" s="20"/>
      <c r="G48" s="20"/>
      <c r="H48" s="20"/>
      <c r="I48" s="20"/>
      <c r="J48" s="20"/>
      <c r="K48" s="20"/>
      <c r="L48" s="20"/>
      <c r="M48" s="20"/>
      <c r="N48" s="20"/>
    </row>
    <row r="49" spans="1:14">
      <c r="A49" s="11"/>
      <c r="B49" s="11"/>
      <c r="C49" s="11"/>
      <c r="D49" s="11"/>
      <c r="E49" s="11"/>
      <c r="F49" s="20"/>
      <c r="G49" s="20"/>
      <c r="H49" s="20"/>
      <c r="I49" s="20"/>
      <c r="J49" s="20"/>
      <c r="K49" s="20"/>
      <c r="L49" s="20"/>
      <c r="M49" s="20"/>
      <c r="N49" s="20"/>
    </row>
    <row r="50" spans="1:14" ht="17">
      <c r="A50" s="10" t="s">
        <v>220</v>
      </c>
      <c r="B50" s="1"/>
      <c r="C50" s="1"/>
      <c r="D50" s="1"/>
      <c r="E50" s="1"/>
      <c r="F50" s="20"/>
      <c r="G50" s="20"/>
      <c r="H50" s="20"/>
      <c r="I50" s="20"/>
      <c r="J50" s="20"/>
      <c r="K50" s="20"/>
      <c r="L50" s="20"/>
      <c r="M50" s="20"/>
      <c r="N50" s="20"/>
    </row>
    <row r="51" spans="1:14">
      <c r="A51" s="12" t="s">
        <v>30</v>
      </c>
      <c r="B51" s="12" t="s">
        <v>31</v>
      </c>
      <c r="C51" s="13" t="s">
        <v>32</v>
      </c>
      <c r="D51" s="12" t="s">
        <v>33</v>
      </c>
      <c r="E51" s="12" t="s">
        <v>34</v>
      </c>
      <c r="F51" s="12" t="s">
        <v>35</v>
      </c>
      <c r="G51" s="12" t="s">
        <v>36</v>
      </c>
      <c r="H51" s="12" t="s">
        <v>37</v>
      </c>
      <c r="I51" s="12" t="s">
        <v>38</v>
      </c>
      <c r="J51" s="12" t="s">
        <v>39</v>
      </c>
      <c r="K51" s="14" t="s">
        <v>40</v>
      </c>
      <c r="L51" s="12" t="s">
        <v>41</v>
      </c>
      <c r="M51" s="12" t="s">
        <v>42</v>
      </c>
      <c r="N51" s="12" t="s">
        <v>43</v>
      </c>
    </row>
    <row r="52" spans="1:14">
      <c r="A52" s="15" t="s">
        <v>82</v>
      </c>
      <c r="B52" s="15" t="s">
        <v>46</v>
      </c>
      <c r="C52" s="3" t="s">
        <v>5</v>
      </c>
      <c r="D52" s="3" t="s">
        <v>47</v>
      </c>
      <c r="E52" s="1" t="s">
        <v>56</v>
      </c>
      <c r="F52" s="20">
        <v>-12.409000000000001</v>
      </c>
      <c r="G52" s="20">
        <v>0.20899999999999999</v>
      </c>
      <c r="H52" s="20">
        <v>-13.032999999999999</v>
      </c>
      <c r="I52" s="20">
        <v>0.20200000000000001</v>
      </c>
      <c r="J52" s="20">
        <f>F52-H52</f>
        <v>0.62399999999999878</v>
      </c>
      <c r="K52" s="20">
        <f>SQRT((G52)^2 + (I52)^2)</f>
        <v>0.29066303514551006</v>
      </c>
      <c r="L52" s="20">
        <f>K52^2</f>
        <v>8.4485000000000018E-2</v>
      </c>
      <c r="M52" s="8">
        <v>-0.01</v>
      </c>
      <c r="N52" s="20">
        <f>(J52-M52)^2</f>
        <v>0.40195599999999848</v>
      </c>
    </row>
    <row r="53" spans="1:14">
      <c r="A53" s="15" t="s">
        <v>82</v>
      </c>
      <c r="B53" s="15" t="s">
        <v>46</v>
      </c>
      <c r="C53" s="3" t="s">
        <v>7</v>
      </c>
      <c r="D53" s="3" t="s">
        <v>48</v>
      </c>
      <c r="E53" s="1" t="s">
        <v>57</v>
      </c>
      <c r="F53" s="20">
        <v>11.23</v>
      </c>
      <c r="G53" s="20">
        <v>0.182</v>
      </c>
      <c r="H53" s="20">
        <v>11.393000000000001</v>
      </c>
      <c r="I53" s="20">
        <v>9.1999999999999998E-2</v>
      </c>
      <c r="J53" s="20">
        <f t="shared" ref="J53:J64" si="12">F53-H53</f>
        <v>-0.16300000000000026</v>
      </c>
      <c r="K53" s="20">
        <f t="shared" ref="K53:K63" si="13">SQRT((G53)^2 + (I53)^2)</f>
        <v>0.20393136100168605</v>
      </c>
      <c r="L53" s="20">
        <f t="shared" ref="L53:L63" si="14">K53^2</f>
        <v>4.1587999999999993E-2</v>
      </c>
      <c r="M53" s="8">
        <v>0.7</v>
      </c>
      <c r="N53" s="20">
        <f t="shared" ref="N53:N63" si="15">(J53-M53)^2</f>
        <v>0.74476900000000035</v>
      </c>
    </row>
    <row r="54" spans="1:14">
      <c r="A54" s="15" t="s">
        <v>82</v>
      </c>
      <c r="B54" s="15" t="s">
        <v>46</v>
      </c>
      <c r="C54" s="3" t="s">
        <v>9</v>
      </c>
      <c r="D54" s="3" t="s">
        <v>83</v>
      </c>
      <c r="E54" s="1" t="s">
        <v>89</v>
      </c>
      <c r="F54" s="20">
        <v>-33.622</v>
      </c>
      <c r="G54" s="20">
        <v>0.41399999999999998</v>
      </c>
      <c r="H54" s="20">
        <v>-37.578000000000003</v>
      </c>
      <c r="I54" s="20">
        <v>0.16800000000000001</v>
      </c>
      <c r="J54" s="20">
        <f t="shared" si="12"/>
        <v>3.9560000000000031</v>
      </c>
      <c r="K54" s="20">
        <f t="shared" si="13"/>
        <v>0.44678854058715517</v>
      </c>
      <c r="L54" s="20">
        <f t="shared" si="14"/>
        <v>0.19961999999999999</v>
      </c>
      <c r="M54" s="8">
        <v>1.19</v>
      </c>
      <c r="N54" s="20">
        <f t="shared" si="15"/>
        <v>7.6507560000000172</v>
      </c>
    </row>
    <row r="55" spans="1:14">
      <c r="A55" s="15" t="s">
        <v>101</v>
      </c>
      <c r="B55" s="15" t="s">
        <v>46</v>
      </c>
      <c r="C55" s="3" t="s">
        <v>11</v>
      </c>
      <c r="D55" s="3" t="s">
        <v>84</v>
      </c>
      <c r="E55" s="1" t="s">
        <v>90</v>
      </c>
      <c r="F55" s="20">
        <v>-40.414999999999999</v>
      </c>
      <c r="G55" s="20">
        <v>0.307</v>
      </c>
      <c r="H55" s="20">
        <v>-41.499000000000002</v>
      </c>
      <c r="I55" s="20">
        <v>0.23400000000000001</v>
      </c>
      <c r="J55" s="20">
        <f t="shared" si="12"/>
        <v>1.0840000000000032</v>
      </c>
      <c r="K55" s="20">
        <f t="shared" si="13"/>
        <v>0.3860116578550446</v>
      </c>
      <c r="L55" s="20">
        <f t="shared" si="14"/>
        <v>0.14900500000000003</v>
      </c>
      <c r="M55" s="8">
        <v>1.28</v>
      </c>
      <c r="N55" s="20">
        <f t="shared" si="15"/>
        <v>3.8415999999998764E-2</v>
      </c>
    </row>
    <row r="56" spans="1:14">
      <c r="A56" s="15" t="s">
        <v>82</v>
      </c>
      <c r="B56" s="15" t="s">
        <v>46</v>
      </c>
      <c r="C56" s="3" t="s">
        <v>13</v>
      </c>
      <c r="D56" s="3" t="s">
        <v>49</v>
      </c>
      <c r="E56" s="1" t="s">
        <v>58</v>
      </c>
      <c r="F56" s="20">
        <v>12.587</v>
      </c>
      <c r="G56" s="20">
        <v>0.14499999999999999</v>
      </c>
      <c r="H56" s="20">
        <v>11.454000000000001</v>
      </c>
      <c r="I56" s="20">
        <v>0.09</v>
      </c>
      <c r="J56" s="20">
        <f t="shared" si="12"/>
        <v>1.1329999999999991</v>
      </c>
      <c r="K56" s="20">
        <f t="shared" si="13"/>
        <v>0.1706604816587601</v>
      </c>
      <c r="L56" s="20">
        <f t="shared" si="14"/>
        <v>2.9124999999999995E-2</v>
      </c>
      <c r="M56" s="8">
        <v>-1.28</v>
      </c>
      <c r="N56" s="20">
        <f t="shared" si="15"/>
        <v>5.822568999999997</v>
      </c>
    </row>
    <row r="57" spans="1:14">
      <c r="A57" s="15" t="s">
        <v>82</v>
      </c>
      <c r="B57" s="15" t="s">
        <v>46</v>
      </c>
      <c r="C57" s="3" t="s">
        <v>15</v>
      </c>
      <c r="D57" s="3" t="s">
        <v>50</v>
      </c>
      <c r="E57" s="1" t="s">
        <v>59</v>
      </c>
      <c r="F57" s="20">
        <v>15.212999999999999</v>
      </c>
      <c r="G57" s="20">
        <v>0.249</v>
      </c>
      <c r="H57" s="20">
        <v>13.407999999999999</v>
      </c>
      <c r="I57" s="20">
        <v>7.0000000000000007E-2</v>
      </c>
      <c r="J57" s="20">
        <f t="shared" si="12"/>
        <v>1.8049999999999997</v>
      </c>
      <c r="K57" s="20">
        <f t="shared" si="13"/>
        <v>0.25865227623200998</v>
      </c>
      <c r="L57" s="20">
        <f t="shared" si="14"/>
        <v>6.6901000000000002E-2</v>
      </c>
      <c r="M57" s="8">
        <v>1.26</v>
      </c>
      <c r="N57" s="20">
        <f t="shared" si="15"/>
        <v>0.29702499999999971</v>
      </c>
    </row>
    <row r="58" spans="1:14">
      <c r="A58" s="15" t="s">
        <v>82</v>
      </c>
      <c r="B58" s="15" t="s">
        <v>46</v>
      </c>
      <c r="C58" s="3" t="s">
        <v>16</v>
      </c>
      <c r="D58" s="3" t="s">
        <v>51</v>
      </c>
      <c r="E58" s="1" t="s">
        <v>60</v>
      </c>
      <c r="F58" s="20">
        <v>-5.4050000000000002</v>
      </c>
      <c r="G58" s="20">
        <v>0.22500000000000001</v>
      </c>
      <c r="H58" s="20">
        <v>-6.15</v>
      </c>
      <c r="I58" s="20">
        <v>9.0999999999999998E-2</v>
      </c>
      <c r="J58" s="20">
        <f t="shared" si="12"/>
        <v>0.74500000000000011</v>
      </c>
      <c r="K58" s="20">
        <f t="shared" si="13"/>
        <v>0.24270558296009592</v>
      </c>
      <c r="L58" s="20">
        <f t="shared" si="14"/>
        <v>5.8906000000000007E-2</v>
      </c>
      <c r="M58" s="8">
        <v>1.35</v>
      </c>
      <c r="N58" s="20">
        <f t="shared" si="15"/>
        <v>0.36602499999999999</v>
      </c>
    </row>
    <row r="59" spans="1:14">
      <c r="A59" s="15" t="s">
        <v>82</v>
      </c>
      <c r="B59" s="15" t="s">
        <v>46</v>
      </c>
      <c r="C59" s="3" t="s">
        <v>17</v>
      </c>
      <c r="D59" s="3" t="s">
        <v>52</v>
      </c>
      <c r="E59" s="1" t="s">
        <v>61</v>
      </c>
      <c r="F59" s="20">
        <v>69.421000000000006</v>
      </c>
      <c r="G59" s="20">
        <v>0.41299999999999998</v>
      </c>
      <c r="H59" s="20">
        <v>70.144000000000005</v>
      </c>
      <c r="I59" s="20">
        <v>2.5999999999999999E-2</v>
      </c>
      <c r="J59" s="20">
        <f t="shared" si="12"/>
        <v>-0.72299999999999898</v>
      </c>
      <c r="K59" s="20">
        <f t="shared" si="13"/>
        <v>0.41381759266614077</v>
      </c>
      <c r="L59" s="20">
        <f t="shared" si="14"/>
        <v>0.17124500000000001</v>
      </c>
      <c r="M59" s="8">
        <v>1.76</v>
      </c>
      <c r="N59" s="20">
        <f t="shared" si="15"/>
        <v>6.1652889999999942</v>
      </c>
    </row>
    <row r="60" spans="1:14">
      <c r="A60" s="15" t="s">
        <v>82</v>
      </c>
      <c r="B60" s="15" t="s">
        <v>46</v>
      </c>
      <c r="C60" s="3" t="s">
        <v>18</v>
      </c>
      <c r="D60" s="3" t="s">
        <v>85</v>
      </c>
      <c r="E60" s="1" t="s">
        <v>91</v>
      </c>
      <c r="F60" s="20">
        <v>-6.8070000000000004</v>
      </c>
      <c r="G60" s="20">
        <v>0.33900000000000002</v>
      </c>
      <c r="H60" s="20">
        <v>-6.8540000000000001</v>
      </c>
      <c r="I60" s="20">
        <v>0.27700000000000002</v>
      </c>
      <c r="J60" s="20">
        <f t="shared" si="12"/>
        <v>4.6999999999999709E-2</v>
      </c>
      <c r="K60" s="20">
        <f t="shared" si="13"/>
        <v>0.4377784827969507</v>
      </c>
      <c r="L60" s="20">
        <f t="shared" si="14"/>
        <v>0.19165000000000007</v>
      </c>
      <c r="M60" s="8">
        <v>0.54</v>
      </c>
      <c r="N60" s="20">
        <f t="shared" si="15"/>
        <v>0.24304900000000032</v>
      </c>
    </row>
    <row r="61" spans="1:14">
      <c r="A61" s="15" t="s">
        <v>82</v>
      </c>
      <c r="B61" s="15" t="s">
        <v>46</v>
      </c>
      <c r="C61" s="3" t="s">
        <v>20</v>
      </c>
      <c r="D61" s="3" t="s">
        <v>53</v>
      </c>
      <c r="E61" s="1" t="s">
        <v>62</v>
      </c>
      <c r="F61" s="20">
        <v>46.38</v>
      </c>
      <c r="G61" s="20">
        <v>0.126</v>
      </c>
      <c r="H61" s="20">
        <v>45.868000000000002</v>
      </c>
      <c r="I61" s="20">
        <v>0.08</v>
      </c>
      <c r="J61" s="20">
        <f t="shared" si="12"/>
        <v>0.51200000000000045</v>
      </c>
      <c r="K61" s="20">
        <f t="shared" si="13"/>
        <v>0.14925146565444508</v>
      </c>
      <c r="L61" s="20">
        <f t="shared" si="14"/>
        <v>2.2276000000000001E-2</v>
      </c>
      <c r="M61" s="8">
        <v>-0.35</v>
      </c>
      <c r="N61" s="20">
        <f t="shared" si="15"/>
        <v>0.7430440000000007</v>
      </c>
    </row>
    <row r="62" spans="1:14">
      <c r="A62" s="15" t="s">
        <v>82</v>
      </c>
      <c r="B62" s="15" t="s">
        <v>46</v>
      </c>
      <c r="C62" s="3" t="s">
        <v>22</v>
      </c>
      <c r="D62" s="3" t="s">
        <v>54</v>
      </c>
      <c r="E62" s="1" t="s">
        <v>63</v>
      </c>
      <c r="F62" s="20">
        <v>-2.5150000000000001</v>
      </c>
      <c r="G62" s="20">
        <v>0.13100000000000001</v>
      </c>
      <c r="H62" s="20">
        <v>-2.371</v>
      </c>
      <c r="I62" s="20">
        <v>0.10299999999999999</v>
      </c>
      <c r="J62" s="20">
        <f t="shared" si="12"/>
        <v>-0.14400000000000013</v>
      </c>
      <c r="K62" s="20">
        <f t="shared" si="13"/>
        <v>0.1666433316997713</v>
      </c>
      <c r="L62" s="20">
        <f t="shared" si="14"/>
        <v>2.7770000000000003E-2</v>
      </c>
      <c r="M62" s="8">
        <v>0.52</v>
      </c>
      <c r="N62" s="20">
        <f t="shared" si="15"/>
        <v>0.44089600000000018</v>
      </c>
    </row>
    <row r="63" spans="1:14">
      <c r="A63" s="15" t="s">
        <v>82</v>
      </c>
      <c r="B63" s="15" t="s">
        <v>46</v>
      </c>
      <c r="C63" s="3" t="s">
        <v>23</v>
      </c>
      <c r="D63" s="3" t="s">
        <v>55</v>
      </c>
      <c r="E63" s="1" t="s">
        <v>64</v>
      </c>
      <c r="F63" s="20">
        <v>-4.2750000000000004</v>
      </c>
      <c r="G63" s="20">
        <v>0.29199999999999998</v>
      </c>
      <c r="H63" s="20">
        <v>-4.6749999999999998</v>
      </c>
      <c r="I63" s="20">
        <v>0.09</v>
      </c>
      <c r="J63" s="20">
        <f t="shared" si="12"/>
        <v>0.39999999999999947</v>
      </c>
      <c r="K63" s="20">
        <f t="shared" si="13"/>
        <v>0.30555523232306137</v>
      </c>
      <c r="L63" s="20">
        <f t="shared" si="14"/>
        <v>9.3364000000000003E-2</v>
      </c>
      <c r="M63" s="8">
        <v>1.08</v>
      </c>
      <c r="N63" s="20">
        <f t="shared" si="15"/>
        <v>0.46240000000000081</v>
      </c>
    </row>
    <row r="64" spans="1:14">
      <c r="A64" s="15" t="s">
        <v>101</v>
      </c>
      <c r="B64" s="15" t="s">
        <v>46</v>
      </c>
      <c r="C64" s="41" t="s">
        <v>24</v>
      </c>
      <c r="D64" s="8" t="s">
        <v>86</v>
      </c>
      <c r="E64" s="20" t="s">
        <v>92</v>
      </c>
      <c r="F64" s="20">
        <v>-8.8390000000000004</v>
      </c>
      <c r="G64" s="20">
        <v>0.2878906</v>
      </c>
      <c r="H64" s="20">
        <v>-9.1780000000000008</v>
      </c>
      <c r="I64" s="20">
        <v>0.22900000000000001</v>
      </c>
      <c r="J64" s="20">
        <f t="shared" si="12"/>
        <v>0.33900000000000041</v>
      </c>
      <c r="K64" s="20">
        <f>SQRT((G64)^2 + (I64)^2)</f>
        <v>0.36786138363296572</v>
      </c>
      <c r="L64" s="20">
        <f>K64^2</f>
        <v>0.13532199756835997</v>
      </c>
      <c r="M64" s="8">
        <v>1.42</v>
      </c>
      <c r="N64" s="20">
        <f>(J64-M64)^2</f>
        <v>1.1685609999999989</v>
      </c>
    </row>
    <row r="65" spans="1:14">
      <c r="A65" s="15" t="s">
        <v>82</v>
      </c>
      <c r="B65" s="15" t="s">
        <v>46</v>
      </c>
      <c r="C65" s="8" t="s">
        <v>27</v>
      </c>
      <c r="D65" s="9" t="s">
        <v>28</v>
      </c>
      <c r="E65" s="1" t="s">
        <v>65</v>
      </c>
      <c r="F65" s="20">
        <v>-8.1370000000000005</v>
      </c>
      <c r="G65" s="20">
        <v>0.107</v>
      </c>
      <c r="H65" s="20">
        <v>-8.5500000000000007</v>
      </c>
      <c r="I65" s="20">
        <v>9.1923879999999999E-2</v>
      </c>
      <c r="J65" s="20">
        <f t="shared" ref="J65:J68" si="16">F65-H65</f>
        <v>0.41300000000000026</v>
      </c>
      <c r="K65" s="20">
        <f t="shared" ref="K65:K73" si="17">SQRT((G65)^2 + (I65)^2)</f>
        <v>0.14106381433328108</v>
      </c>
      <c r="L65" s="20">
        <f t="shared" ref="L65:L73" si="18">K65^2</f>
        <v>1.9898999714254396E-2</v>
      </c>
      <c r="M65" s="9">
        <v>-0.21</v>
      </c>
      <c r="N65" s="20">
        <f t="shared" ref="N65:N73" si="19">(J65-M65)^2</f>
        <v>0.38812900000000028</v>
      </c>
    </row>
    <row r="66" spans="1:14">
      <c r="A66" s="15" t="s">
        <v>82</v>
      </c>
      <c r="B66" s="15" t="s">
        <v>46</v>
      </c>
      <c r="C66" s="3" t="s">
        <v>25</v>
      </c>
      <c r="D66" s="3" t="s">
        <v>87</v>
      </c>
      <c r="E66" s="1" t="s">
        <v>93</v>
      </c>
      <c r="F66" s="20">
        <v>71.343999999999994</v>
      </c>
      <c r="G66" s="20">
        <v>0.19900000000000001</v>
      </c>
      <c r="H66" s="20">
        <v>69.974999999999994</v>
      </c>
      <c r="I66" s="20">
        <v>0.26800000000000002</v>
      </c>
      <c r="J66" s="20">
        <f t="shared" si="16"/>
        <v>1.3689999999999998</v>
      </c>
      <c r="K66" s="20">
        <f t="shared" si="17"/>
        <v>0.33380383460949042</v>
      </c>
      <c r="L66" s="20">
        <f t="shared" si="18"/>
        <v>0.11142500000000004</v>
      </c>
      <c r="M66" s="8">
        <v>1.1100000000000001</v>
      </c>
      <c r="N66" s="20">
        <f t="shared" si="19"/>
        <v>6.7080999999999835E-2</v>
      </c>
    </row>
    <row r="67" spans="1:14">
      <c r="A67" s="15" t="s">
        <v>101</v>
      </c>
      <c r="B67" s="15" t="s">
        <v>46</v>
      </c>
      <c r="C67" s="3" t="s">
        <v>26</v>
      </c>
      <c r="D67" s="3" t="s">
        <v>88</v>
      </c>
      <c r="E67" s="1" t="s">
        <v>94</v>
      </c>
      <c r="F67" s="20">
        <v>-35.639000000000003</v>
      </c>
      <c r="G67" s="20">
        <v>0.38500000000000001</v>
      </c>
      <c r="H67" s="20">
        <v>-40.424999999999997</v>
      </c>
      <c r="I67" s="20">
        <v>0.127</v>
      </c>
      <c r="J67" s="20">
        <f t="shared" si="16"/>
        <v>4.7859999999999943</v>
      </c>
      <c r="K67" s="20">
        <f t="shared" si="17"/>
        <v>0.4054059693689771</v>
      </c>
      <c r="L67" s="20">
        <f t="shared" si="18"/>
        <v>0.164354</v>
      </c>
      <c r="M67" s="8">
        <v>4.45</v>
      </c>
      <c r="N67" s="20">
        <f t="shared" si="19"/>
        <v>0.11289599999999603</v>
      </c>
    </row>
    <row r="68" spans="1:14">
      <c r="A68" s="15" t="s">
        <v>82</v>
      </c>
      <c r="B68" s="1" t="s">
        <v>70</v>
      </c>
      <c r="C68" s="3" t="s">
        <v>4</v>
      </c>
      <c r="D68" s="3" t="s">
        <v>71</v>
      </c>
      <c r="E68" s="1" t="s">
        <v>75</v>
      </c>
      <c r="F68" s="20">
        <v>46.597000000000001</v>
      </c>
      <c r="G68" s="20">
        <v>0.13800000000000001</v>
      </c>
      <c r="H68" s="20">
        <v>46.381</v>
      </c>
      <c r="I68" s="20">
        <v>7.5999999999999998E-2</v>
      </c>
      <c r="J68" s="20">
        <f t="shared" si="16"/>
        <v>0.21600000000000108</v>
      </c>
      <c r="K68" s="20">
        <f t="shared" si="17"/>
        <v>0.15754364474646385</v>
      </c>
      <c r="L68" s="20">
        <f t="shared" si="18"/>
        <v>2.4820000000000005E-2</v>
      </c>
      <c r="M68" s="8">
        <v>-0.24</v>
      </c>
      <c r="N68" s="20">
        <f t="shared" si="19"/>
        <v>0.20793600000000098</v>
      </c>
    </row>
    <row r="69" spans="1:14">
      <c r="A69" s="15" t="s">
        <v>101</v>
      </c>
      <c r="B69" s="20" t="s">
        <v>70</v>
      </c>
      <c r="C69" s="42" t="s">
        <v>6</v>
      </c>
      <c r="D69" s="8" t="s">
        <v>72</v>
      </c>
      <c r="E69" s="20" t="s">
        <v>76</v>
      </c>
      <c r="F69" s="20">
        <v>-8.9540000000000006</v>
      </c>
      <c r="G69" s="20">
        <v>3.8275320000000002E-2</v>
      </c>
      <c r="H69" s="20">
        <v>-8.4480000000000004</v>
      </c>
      <c r="I69" s="20">
        <v>0.115</v>
      </c>
      <c r="J69" s="20">
        <f t="shared" ref="J69:J71" si="20">(F69-H69)</f>
        <v>-0.50600000000000023</v>
      </c>
      <c r="K69" s="20">
        <f t="shared" si="17"/>
        <v>0.12120231070859334</v>
      </c>
      <c r="L69" s="20">
        <f t="shared" si="18"/>
        <v>1.4690000121102401E-2</v>
      </c>
      <c r="M69" s="8">
        <v>0.97</v>
      </c>
      <c r="N69" s="20">
        <f t="shared" si="19"/>
        <v>2.1785760000000005</v>
      </c>
    </row>
    <row r="70" spans="1:14">
      <c r="A70" s="15" t="s">
        <v>101</v>
      </c>
      <c r="B70" s="20" t="s">
        <v>70</v>
      </c>
      <c r="C70" s="42" t="s">
        <v>8</v>
      </c>
      <c r="D70" s="8" t="s">
        <v>73</v>
      </c>
      <c r="E70" s="20" t="s">
        <v>77</v>
      </c>
      <c r="F70" s="20">
        <v>-8.3580000000000005</v>
      </c>
      <c r="G70" s="20">
        <v>0.12831602</v>
      </c>
      <c r="H70" s="20">
        <v>-8.2289999999999992</v>
      </c>
      <c r="I70" s="20">
        <v>7.2999999999999995E-2</v>
      </c>
      <c r="J70" s="20">
        <f t="shared" si="20"/>
        <v>-0.12900000000000134</v>
      </c>
      <c r="K70" s="20">
        <f t="shared" si="17"/>
        <v>0.14762791398865052</v>
      </c>
      <c r="L70" s="20">
        <f t="shared" si="18"/>
        <v>2.1794000988640396E-2</v>
      </c>
      <c r="M70" s="8">
        <v>-0.15</v>
      </c>
      <c r="N70" s="20">
        <f t="shared" si="19"/>
        <v>4.4099999999994366E-4</v>
      </c>
    </row>
    <row r="71" spans="1:14">
      <c r="A71" s="15" t="s">
        <v>101</v>
      </c>
      <c r="B71" s="20" t="s">
        <v>70</v>
      </c>
      <c r="C71" s="42" t="s">
        <v>10</v>
      </c>
      <c r="D71" s="8" t="s">
        <v>103</v>
      </c>
      <c r="E71" s="20" t="s">
        <v>105</v>
      </c>
      <c r="F71" s="20">
        <v>-6.2750000000000004</v>
      </c>
      <c r="G71" s="20">
        <v>0.26986293</v>
      </c>
      <c r="H71" s="20">
        <v>-7.9630000000000001</v>
      </c>
      <c r="I71" s="20">
        <v>9.6000000000000002E-2</v>
      </c>
      <c r="J71" s="20">
        <f t="shared" si="20"/>
        <v>1.6879999999999997</v>
      </c>
      <c r="K71" s="20">
        <f t="shared" si="17"/>
        <v>0.28642974878351046</v>
      </c>
      <c r="L71" s="20">
        <f t="shared" si="18"/>
        <v>8.2042000988184913E-2</v>
      </c>
      <c r="M71" s="8">
        <v>2.0099999999999998</v>
      </c>
      <c r="N71" s="20">
        <f t="shared" si="19"/>
        <v>0.10368400000000004</v>
      </c>
    </row>
    <row r="72" spans="1:14">
      <c r="A72" s="15" t="s">
        <v>82</v>
      </c>
      <c r="B72" s="1" t="s">
        <v>70</v>
      </c>
      <c r="C72" s="3" t="s">
        <v>12</v>
      </c>
      <c r="D72" s="3" t="s">
        <v>104</v>
      </c>
      <c r="E72" s="1" t="s">
        <v>106</v>
      </c>
      <c r="F72" s="20">
        <v>-23.72</v>
      </c>
      <c r="G72" s="20">
        <v>0.11700000000000001</v>
      </c>
      <c r="H72" s="20">
        <v>-23.588999999999999</v>
      </c>
      <c r="I72" s="20">
        <v>0.14099999999999999</v>
      </c>
      <c r="J72" s="20">
        <f t="shared" ref="J72:J73" si="21">F72-H72</f>
        <v>-0.13100000000000023</v>
      </c>
      <c r="K72" s="20">
        <f t="shared" si="17"/>
        <v>0.18322117781522965</v>
      </c>
      <c r="L72" s="20">
        <f t="shared" si="18"/>
        <v>3.3570000000000003E-2</v>
      </c>
      <c r="M72" s="8">
        <v>0.85</v>
      </c>
      <c r="N72" s="20">
        <f t="shared" si="19"/>
        <v>0.96236100000000036</v>
      </c>
    </row>
    <row r="73" spans="1:14">
      <c r="A73" s="15" t="s">
        <v>82</v>
      </c>
      <c r="B73" s="1" t="s">
        <v>70</v>
      </c>
      <c r="C73" s="3" t="s">
        <v>14</v>
      </c>
      <c r="D73" s="3" t="s">
        <v>74</v>
      </c>
      <c r="E73" s="1" t="s">
        <v>78</v>
      </c>
      <c r="F73" s="20">
        <v>-11.115</v>
      </c>
      <c r="G73" s="20">
        <v>0.28299999999999997</v>
      </c>
      <c r="H73" s="20">
        <v>-10.105</v>
      </c>
      <c r="I73" s="20">
        <v>0.123</v>
      </c>
      <c r="J73" s="20">
        <f t="shared" si="21"/>
        <v>-1.0099999999999998</v>
      </c>
      <c r="K73" s="20">
        <f t="shared" si="17"/>
        <v>0.30857414019972573</v>
      </c>
      <c r="L73" s="20">
        <f t="shared" si="18"/>
        <v>9.5217999999999997E-2</v>
      </c>
      <c r="M73" s="8">
        <v>-0.78</v>
      </c>
      <c r="N73" s="20">
        <f t="shared" si="19"/>
        <v>5.2899999999999892E-2</v>
      </c>
    </row>
    <row r="74" spans="1:14">
      <c r="L74" s="18" t="s">
        <v>67</v>
      </c>
      <c r="M74" s="18"/>
      <c r="N74" s="18" t="s">
        <v>67</v>
      </c>
    </row>
    <row r="75" spans="1:14">
      <c r="L75" s="20">
        <f>SUM(L52:L73)</f>
        <v>1.8390689993805422</v>
      </c>
      <c r="M75" s="1"/>
      <c r="N75" s="20">
        <f>SUM(N52:N73)</f>
        <v>28.618759000000001</v>
      </c>
    </row>
    <row r="76" spans="1:14">
      <c r="L76" s="1"/>
      <c r="M76" s="1"/>
      <c r="N76" s="1"/>
    </row>
    <row r="77" spans="1:14">
      <c r="L77" s="1"/>
      <c r="M77" s="19" t="s">
        <v>68</v>
      </c>
      <c r="N77" s="1">
        <f>SQRT(N75/22)</f>
        <v>1.1405492895171965</v>
      </c>
    </row>
    <row r="78" spans="1:14">
      <c r="L78" s="1"/>
      <c r="M78" s="19" t="s">
        <v>40</v>
      </c>
      <c r="N78" s="1">
        <f>SQRT(L75/22)</f>
        <v>0.28912634855092034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F9CF1-CAE0-3047-A976-B141B4502C66}">
  <dimension ref="A1:O69"/>
  <sheetViews>
    <sheetView topLeftCell="A34" workbookViewId="0">
      <selection activeCell="A48" sqref="A48:N64"/>
    </sheetView>
  </sheetViews>
  <sheetFormatPr baseColWidth="10" defaultRowHeight="16"/>
  <cols>
    <col min="2" max="2" width="12.83203125" customWidth="1"/>
    <col min="3" max="3" width="19.5" customWidth="1"/>
    <col min="4" max="5" width="13.6640625" customWidth="1"/>
    <col min="6" max="6" width="16.83203125" customWidth="1"/>
    <col min="7" max="7" width="21.5" customWidth="1"/>
    <col min="8" max="8" width="16" customWidth="1"/>
    <col min="9" max="9" width="21.1640625" customWidth="1"/>
    <col min="11" max="11" width="14.6640625" customWidth="1"/>
    <col min="12" max="12" width="14.83203125" customWidth="1"/>
    <col min="14" max="14" width="15.6640625" customWidth="1"/>
    <col min="15" max="15" width="18.6640625" customWidth="1"/>
  </cols>
  <sheetData>
    <row r="1" spans="1:14" ht="17">
      <c r="A1" s="10" t="s">
        <v>221</v>
      </c>
      <c r="B1" s="11"/>
      <c r="C1" s="11"/>
      <c r="D1" s="11"/>
      <c r="E1" s="11"/>
      <c r="F1" s="11"/>
      <c r="G1" s="11"/>
      <c r="H1" s="11"/>
      <c r="I1" s="11"/>
      <c r="J1" s="11"/>
      <c r="K1" s="11"/>
      <c r="L1" s="11"/>
      <c r="M1" s="11"/>
      <c r="N1" s="11"/>
    </row>
    <row r="2" spans="1:14">
      <c r="A2" s="12" t="s">
        <v>30</v>
      </c>
      <c r="B2" s="12" t="s">
        <v>31</v>
      </c>
      <c r="C2" s="13" t="s">
        <v>32</v>
      </c>
      <c r="D2" s="12" t="s">
        <v>33</v>
      </c>
      <c r="E2" s="12" t="s">
        <v>34</v>
      </c>
      <c r="F2" s="12" t="s">
        <v>35</v>
      </c>
      <c r="G2" s="12" t="s">
        <v>36</v>
      </c>
      <c r="H2" s="12" t="s">
        <v>37</v>
      </c>
      <c r="I2" s="12" t="s">
        <v>38</v>
      </c>
      <c r="J2" s="12" t="s">
        <v>39</v>
      </c>
      <c r="K2" s="14" t="s">
        <v>40</v>
      </c>
      <c r="L2" s="12" t="s">
        <v>41</v>
      </c>
      <c r="M2" s="12" t="s">
        <v>42</v>
      </c>
      <c r="N2" s="12" t="s">
        <v>43</v>
      </c>
    </row>
    <row r="3" spans="1:14">
      <c r="A3" s="26" t="s">
        <v>101</v>
      </c>
      <c r="B3" s="26" t="s">
        <v>46</v>
      </c>
      <c r="C3" s="25" t="s">
        <v>9</v>
      </c>
      <c r="D3" s="3" t="s">
        <v>83</v>
      </c>
      <c r="E3" s="1" t="s">
        <v>89</v>
      </c>
      <c r="F3" s="20">
        <v>-32.768000000000001</v>
      </c>
      <c r="G3" s="20">
        <v>0.253</v>
      </c>
      <c r="H3" s="20">
        <v>-37.600999999999999</v>
      </c>
      <c r="I3" s="20">
        <v>0.17</v>
      </c>
      <c r="J3" s="20">
        <f>F3-H3</f>
        <v>4.8329999999999984</v>
      </c>
      <c r="K3" s="20">
        <f>SQRT((G3)^2 + (I3)^2)</f>
        <v>0.304809776746088</v>
      </c>
      <c r="L3" s="20">
        <f>K3^2</f>
        <v>9.2909000000000005E-2</v>
      </c>
      <c r="M3" s="9">
        <v>1.48</v>
      </c>
      <c r="N3" s="20">
        <f>(J3-M3)^2</f>
        <v>11.242608999999989</v>
      </c>
    </row>
    <row r="4" spans="1:14">
      <c r="A4" s="26" t="s">
        <v>101</v>
      </c>
      <c r="B4" s="26" t="s">
        <v>46</v>
      </c>
      <c r="C4" s="16" t="s">
        <v>11</v>
      </c>
      <c r="D4" s="3" t="s">
        <v>84</v>
      </c>
      <c r="E4" s="1" t="s">
        <v>90</v>
      </c>
      <c r="F4" s="20">
        <v>-40.853999999999999</v>
      </c>
      <c r="G4" s="20">
        <v>0.308</v>
      </c>
      <c r="H4" s="20">
        <v>-42.293999999999997</v>
      </c>
      <c r="I4" s="20">
        <v>9.8000000000000004E-2</v>
      </c>
      <c r="J4" s="20">
        <f t="shared" ref="J4:J15" si="0">F4-H4</f>
        <v>1.4399999999999977</v>
      </c>
      <c r="K4" s="20">
        <f t="shared" ref="K4:K15" si="1">SQRT((G4)^2 + (I4)^2)</f>
        <v>0.32321509865722547</v>
      </c>
      <c r="L4" s="20">
        <f t="shared" ref="L4:L15" si="2">K4^2</f>
        <v>0.10446799999999999</v>
      </c>
      <c r="M4" s="9">
        <v>1.33</v>
      </c>
      <c r="N4" s="20">
        <f t="shared" ref="N4:N15" si="3">(J4-M4)^2</f>
        <v>1.2099999999999484E-2</v>
      </c>
    </row>
    <row r="5" spans="1:14">
      <c r="A5" s="26" t="s">
        <v>82</v>
      </c>
      <c r="B5" s="26" t="s">
        <v>46</v>
      </c>
      <c r="C5" s="16" t="s">
        <v>121</v>
      </c>
      <c r="D5" s="3" t="s">
        <v>122</v>
      </c>
      <c r="E5" s="1" t="s">
        <v>140</v>
      </c>
      <c r="F5" s="20">
        <v>5.5069999999999997</v>
      </c>
      <c r="G5" s="20">
        <v>0.38500000000000001</v>
      </c>
      <c r="H5" s="20">
        <v>6.383</v>
      </c>
      <c r="I5" s="20">
        <v>0.16400000000000001</v>
      </c>
      <c r="J5" s="20">
        <f t="shared" si="0"/>
        <v>-0.87600000000000033</v>
      </c>
      <c r="K5" s="20">
        <f t="shared" si="1"/>
        <v>0.41847461093834593</v>
      </c>
      <c r="L5" s="20">
        <f t="shared" si="2"/>
        <v>0.175121</v>
      </c>
      <c r="M5" s="9">
        <v>0.05</v>
      </c>
      <c r="N5" s="20">
        <f t="shared" si="3"/>
        <v>0.85747600000000068</v>
      </c>
    </row>
    <row r="6" spans="1:14">
      <c r="A6" s="26" t="s">
        <v>101</v>
      </c>
      <c r="B6" s="26" t="s">
        <v>46</v>
      </c>
      <c r="C6" s="16" t="s">
        <v>124</v>
      </c>
      <c r="D6" s="3" t="s">
        <v>125</v>
      </c>
      <c r="E6" s="1" t="s">
        <v>58</v>
      </c>
      <c r="F6" s="20">
        <v>-39.872999999999998</v>
      </c>
      <c r="G6" s="20">
        <v>0.33900000000000002</v>
      </c>
      <c r="H6" s="20">
        <v>-42.363</v>
      </c>
      <c r="I6" s="20">
        <v>4.7E-2</v>
      </c>
      <c r="J6" s="20">
        <f t="shared" si="0"/>
        <v>2.490000000000002</v>
      </c>
      <c r="K6" s="20">
        <f t="shared" si="1"/>
        <v>0.34224260401066375</v>
      </c>
      <c r="L6" s="20">
        <f t="shared" si="2"/>
        <v>0.11713</v>
      </c>
      <c r="M6" s="9">
        <v>0.76</v>
      </c>
      <c r="N6" s="20">
        <f t="shared" si="3"/>
        <v>2.9929000000000068</v>
      </c>
    </row>
    <row r="7" spans="1:14">
      <c r="A7" s="26" t="s">
        <v>82</v>
      </c>
      <c r="B7" s="26" t="s">
        <v>46</v>
      </c>
      <c r="C7" s="16" t="s">
        <v>126</v>
      </c>
      <c r="D7" s="3" t="s">
        <v>50</v>
      </c>
      <c r="E7" s="1" t="s">
        <v>59</v>
      </c>
      <c r="F7" s="20">
        <v>15.722</v>
      </c>
      <c r="G7" s="20">
        <v>0.17100000000000001</v>
      </c>
      <c r="H7" s="20">
        <v>13.2</v>
      </c>
      <c r="I7" s="20">
        <v>0.107</v>
      </c>
      <c r="J7" s="20">
        <f t="shared" si="0"/>
        <v>2.5220000000000002</v>
      </c>
      <c r="K7" s="20">
        <f t="shared" si="1"/>
        <v>0.20171762441591465</v>
      </c>
      <c r="L7" s="20">
        <f t="shared" si="2"/>
        <v>4.0690000000000004E-2</v>
      </c>
      <c r="M7" s="9">
        <v>0.35</v>
      </c>
      <c r="N7" s="20">
        <f t="shared" si="3"/>
        <v>4.7175840000000004</v>
      </c>
    </row>
    <row r="8" spans="1:14">
      <c r="A8" s="26" t="s">
        <v>82</v>
      </c>
      <c r="B8" s="26" t="s">
        <v>46</v>
      </c>
      <c r="C8" s="16" t="s">
        <v>127</v>
      </c>
      <c r="D8" s="3" t="s">
        <v>51</v>
      </c>
      <c r="E8" s="1" t="s">
        <v>60</v>
      </c>
      <c r="F8" s="20">
        <v>-5.3150000000000004</v>
      </c>
      <c r="G8" s="20">
        <v>0.23</v>
      </c>
      <c r="H8" s="20">
        <v>-5.7530000000000001</v>
      </c>
      <c r="I8" s="20">
        <v>7.6999999999999999E-2</v>
      </c>
      <c r="J8" s="20">
        <f t="shared" si="0"/>
        <v>0.43799999999999972</v>
      </c>
      <c r="K8" s="20">
        <f t="shared" si="1"/>
        <v>0.24254690268069803</v>
      </c>
      <c r="L8" s="20">
        <f t="shared" si="2"/>
        <v>5.8829000000000006E-2</v>
      </c>
      <c r="M8" s="9">
        <v>1.25</v>
      </c>
      <c r="N8" s="20">
        <f t="shared" si="3"/>
        <v>0.65934400000000049</v>
      </c>
    </row>
    <row r="9" spans="1:14">
      <c r="A9" s="26" t="s">
        <v>82</v>
      </c>
      <c r="B9" s="26" t="s">
        <v>46</v>
      </c>
      <c r="C9" s="16" t="s">
        <v>128</v>
      </c>
      <c r="D9" s="3" t="s">
        <v>129</v>
      </c>
      <c r="E9" s="1" t="s">
        <v>61</v>
      </c>
      <c r="F9" s="20">
        <v>-5.4610000000000003</v>
      </c>
      <c r="G9" s="20">
        <v>6.9000000000000006E-2</v>
      </c>
      <c r="H9" s="20">
        <v>-6.91</v>
      </c>
      <c r="I9" s="20">
        <v>4.4999999999999998E-2</v>
      </c>
      <c r="J9" s="20">
        <f t="shared" si="0"/>
        <v>1.4489999999999998</v>
      </c>
      <c r="K9" s="20">
        <f t="shared" si="1"/>
        <v>8.2377181306475894E-2</v>
      </c>
      <c r="L9" s="20">
        <f t="shared" si="2"/>
        <v>6.7860000000000012E-3</v>
      </c>
      <c r="M9" s="9">
        <v>1.1499999999999999</v>
      </c>
      <c r="N9" s="20">
        <f t="shared" si="3"/>
        <v>8.9400999999999953E-2</v>
      </c>
    </row>
    <row r="10" spans="1:14">
      <c r="A10" s="26" t="s">
        <v>82</v>
      </c>
      <c r="B10" s="26" t="s">
        <v>46</v>
      </c>
      <c r="C10" s="16" t="s">
        <v>130</v>
      </c>
      <c r="D10" s="3" t="s">
        <v>85</v>
      </c>
      <c r="E10" s="1" t="s">
        <v>91</v>
      </c>
      <c r="F10" s="20">
        <v>-5.7610000000000001</v>
      </c>
      <c r="G10" s="20">
        <v>0.127</v>
      </c>
      <c r="H10" s="20">
        <v>-5.8780000000000001</v>
      </c>
      <c r="I10" s="20">
        <v>0.34499999999999997</v>
      </c>
      <c r="J10" s="20">
        <f t="shared" si="0"/>
        <v>0.11699999999999999</v>
      </c>
      <c r="K10" s="20">
        <f t="shared" si="1"/>
        <v>0.36763296914177862</v>
      </c>
      <c r="L10" s="20">
        <f t="shared" si="2"/>
        <v>0.13515399999999994</v>
      </c>
      <c r="M10" s="9">
        <v>0.86</v>
      </c>
      <c r="N10" s="20">
        <f t="shared" si="3"/>
        <v>0.55204900000000001</v>
      </c>
    </row>
    <row r="11" spans="1:14">
      <c r="A11" s="26" t="s">
        <v>82</v>
      </c>
      <c r="B11" s="26" t="s">
        <v>46</v>
      </c>
      <c r="C11" s="16" t="s">
        <v>131</v>
      </c>
      <c r="D11" s="3" t="s">
        <v>132</v>
      </c>
      <c r="E11" s="1" t="s">
        <v>141</v>
      </c>
      <c r="F11" s="20">
        <v>47.466999999999999</v>
      </c>
      <c r="G11" s="20">
        <v>9.4E-2</v>
      </c>
      <c r="H11" s="20">
        <v>46.307000000000002</v>
      </c>
      <c r="I11" s="20">
        <v>4.3999999999999997E-2</v>
      </c>
      <c r="J11" s="20">
        <f t="shared" si="0"/>
        <v>1.1599999999999966</v>
      </c>
      <c r="K11" s="20">
        <f t="shared" si="1"/>
        <v>0.10378824596263297</v>
      </c>
      <c r="L11" s="20">
        <f t="shared" si="2"/>
        <v>1.0772E-2</v>
      </c>
      <c r="M11" s="9">
        <v>1.1100000000000001</v>
      </c>
      <c r="N11" s="20">
        <f t="shared" si="3"/>
        <v>2.4999999999996492E-3</v>
      </c>
    </row>
    <row r="12" spans="1:14">
      <c r="A12" s="26" t="s">
        <v>82</v>
      </c>
      <c r="B12" s="26" t="s">
        <v>46</v>
      </c>
      <c r="C12" s="16" t="s">
        <v>133</v>
      </c>
      <c r="D12" s="3" t="s">
        <v>53</v>
      </c>
      <c r="E12" s="1" t="s">
        <v>62</v>
      </c>
      <c r="F12" s="20">
        <v>46.466999999999999</v>
      </c>
      <c r="G12" s="20">
        <v>0.20399999999999999</v>
      </c>
      <c r="H12" s="20">
        <v>45.91</v>
      </c>
      <c r="I12" s="20">
        <v>4.7E-2</v>
      </c>
      <c r="J12" s="20">
        <f t="shared" si="0"/>
        <v>0.55700000000000216</v>
      </c>
      <c r="K12" s="20">
        <f t="shared" si="1"/>
        <v>0.20934421415458321</v>
      </c>
      <c r="L12" s="20">
        <f t="shared" si="2"/>
        <v>4.3824999999999996E-2</v>
      </c>
      <c r="M12" s="9">
        <v>0.55000000000000004</v>
      </c>
      <c r="N12" s="20">
        <f t="shared" si="3"/>
        <v>4.9000000000029617E-5</v>
      </c>
    </row>
    <row r="13" spans="1:14">
      <c r="A13" s="26" t="s">
        <v>82</v>
      </c>
      <c r="B13" s="26" t="s">
        <v>46</v>
      </c>
      <c r="C13" s="16" t="s">
        <v>134</v>
      </c>
      <c r="D13" s="3" t="s">
        <v>135</v>
      </c>
      <c r="E13" s="1" t="s">
        <v>142</v>
      </c>
      <c r="F13" s="20">
        <v>46.451000000000001</v>
      </c>
      <c r="G13" s="20">
        <v>5.8999999999999997E-2</v>
      </c>
      <c r="H13" s="20">
        <v>46.646999999999998</v>
      </c>
      <c r="I13" s="20">
        <v>3.5000000000000003E-2</v>
      </c>
      <c r="J13" s="20">
        <f t="shared" si="0"/>
        <v>-0.19599999999999795</v>
      </c>
      <c r="K13" s="20">
        <f t="shared" si="1"/>
        <v>6.860029154456998E-2</v>
      </c>
      <c r="L13" s="20">
        <f t="shared" si="2"/>
        <v>4.7059999999999992E-3</v>
      </c>
      <c r="M13" s="9">
        <v>0.09</v>
      </c>
      <c r="N13" s="20">
        <f t="shared" si="3"/>
        <v>8.1795999999998814E-2</v>
      </c>
    </row>
    <row r="14" spans="1:14">
      <c r="A14" s="26" t="s">
        <v>82</v>
      </c>
      <c r="B14" s="26" t="s">
        <v>46</v>
      </c>
      <c r="C14" s="16" t="s">
        <v>136</v>
      </c>
      <c r="D14" s="3" t="s">
        <v>137</v>
      </c>
      <c r="E14" s="1" t="s">
        <v>143</v>
      </c>
      <c r="F14" s="20">
        <v>-8.4580000000000002</v>
      </c>
      <c r="G14" s="20">
        <v>0.1</v>
      </c>
      <c r="H14" s="20">
        <v>-8.6940000000000008</v>
      </c>
      <c r="I14" s="20">
        <v>0.13100000000000001</v>
      </c>
      <c r="J14" s="20">
        <f t="shared" si="0"/>
        <v>0.23600000000000065</v>
      </c>
      <c r="K14" s="20">
        <f t="shared" si="1"/>
        <v>0.1648059464946578</v>
      </c>
      <c r="L14" s="20">
        <f t="shared" si="2"/>
        <v>2.7161000000000008E-2</v>
      </c>
      <c r="M14" s="9">
        <v>0.83</v>
      </c>
      <c r="N14" s="20">
        <f t="shared" si="3"/>
        <v>0.35283599999999915</v>
      </c>
    </row>
    <row r="15" spans="1:14">
      <c r="A15" s="26" t="s">
        <v>101</v>
      </c>
      <c r="B15" s="26" t="s">
        <v>46</v>
      </c>
      <c r="C15" s="25" t="s">
        <v>138</v>
      </c>
      <c r="D15" s="3" t="s">
        <v>139</v>
      </c>
      <c r="E15" s="1" t="s">
        <v>144</v>
      </c>
      <c r="F15" s="20">
        <v>-19.974</v>
      </c>
      <c r="G15" s="20">
        <v>0.98599999999999999</v>
      </c>
      <c r="H15" s="20">
        <v>-22.344999999999999</v>
      </c>
      <c r="I15" s="20">
        <v>0.19</v>
      </c>
      <c r="J15" s="20">
        <f t="shared" si="0"/>
        <v>2.3709999999999987</v>
      </c>
      <c r="K15" s="20">
        <f t="shared" si="1"/>
        <v>1.0041394325490858</v>
      </c>
      <c r="L15" s="20">
        <f t="shared" si="2"/>
        <v>1.0082960000000001</v>
      </c>
      <c r="M15" s="9">
        <v>1.07</v>
      </c>
      <c r="N15" s="20">
        <f t="shared" si="3"/>
        <v>1.6926009999999965</v>
      </c>
    </row>
    <row r="16" spans="1:14">
      <c r="A16" s="15" t="s">
        <v>82</v>
      </c>
      <c r="B16" s="1" t="s">
        <v>70</v>
      </c>
      <c r="C16" s="16" t="s">
        <v>4</v>
      </c>
      <c r="D16" s="16" t="s">
        <v>145</v>
      </c>
      <c r="E16" s="1" t="s">
        <v>149</v>
      </c>
      <c r="F16" s="1">
        <v>46.143999999999998</v>
      </c>
      <c r="G16" s="1">
        <v>6.0999999999999999E-2</v>
      </c>
      <c r="H16" s="20">
        <v>46.198999999999998</v>
      </c>
      <c r="I16" s="20">
        <v>0.114</v>
      </c>
      <c r="J16" s="20">
        <f>F16-H16</f>
        <v>-5.4999999999999716E-2</v>
      </c>
      <c r="K16" s="20">
        <f>SQRT((G16)^2 + (I16)^2)</f>
        <v>0.12929423807734047</v>
      </c>
      <c r="L16" s="20">
        <f>K16^2</f>
        <v>1.6716999999999999E-2</v>
      </c>
      <c r="M16" s="9">
        <v>-0.22</v>
      </c>
      <c r="N16" s="20">
        <f>(J16-M16)^2</f>
        <v>2.7225000000000093E-2</v>
      </c>
    </row>
    <row r="17" spans="1:14">
      <c r="A17" s="15" t="s">
        <v>82</v>
      </c>
      <c r="B17" s="1" t="s">
        <v>70</v>
      </c>
      <c r="C17" s="16" t="s">
        <v>119</v>
      </c>
      <c r="D17" s="16" t="s">
        <v>146</v>
      </c>
      <c r="E17" s="1" t="s">
        <v>150</v>
      </c>
      <c r="F17" s="1">
        <v>68.542000000000002</v>
      </c>
      <c r="G17" s="1">
        <v>5.6000000000000001E-2</v>
      </c>
      <c r="H17" s="20">
        <v>68.394000000000005</v>
      </c>
      <c r="I17" s="20">
        <v>9.2999999999999999E-2</v>
      </c>
      <c r="J17" s="20">
        <f>F17-H17</f>
        <v>0.14799999999999613</v>
      </c>
      <c r="K17" s="20">
        <f>SQRT((G17)^2 + (I17)^2)</f>
        <v>0.10855873986004075</v>
      </c>
      <c r="L17" s="20">
        <f>K17^2</f>
        <v>1.1785E-2</v>
      </c>
      <c r="M17" s="9">
        <v>0.2</v>
      </c>
      <c r="N17" s="20">
        <f>(J17-M17)^2</f>
        <v>2.7040000000004031E-3</v>
      </c>
    </row>
    <row r="18" spans="1:14">
      <c r="A18" s="15" t="s">
        <v>101</v>
      </c>
      <c r="B18" s="1" t="s">
        <v>70</v>
      </c>
      <c r="C18" s="25" t="s">
        <v>120</v>
      </c>
      <c r="D18" s="16" t="s">
        <v>147</v>
      </c>
      <c r="E18" s="1" t="s">
        <v>151</v>
      </c>
      <c r="F18" s="1">
        <v>-23.030999999999999</v>
      </c>
      <c r="G18" s="1">
        <v>0.14299999999999999</v>
      </c>
      <c r="H18" s="20">
        <v>-24.692</v>
      </c>
      <c r="I18" s="20">
        <v>6.7000000000000004E-2</v>
      </c>
      <c r="J18" s="20">
        <f>F18-H18</f>
        <v>1.6610000000000014</v>
      </c>
      <c r="K18" s="20">
        <f>SQRT((G18)^2 + (I18)^2)</f>
        <v>0.15791770008456935</v>
      </c>
      <c r="L18" s="20">
        <f>K18^2</f>
        <v>2.4937999999999991E-2</v>
      </c>
      <c r="M18" s="9">
        <v>-0.87</v>
      </c>
      <c r="N18" s="20">
        <f>(J18-M18)^2</f>
        <v>6.4059610000000076</v>
      </c>
    </row>
    <row r="19" spans="1:14">
      <c r="A19" s="15" t="s">
        <v>101</v>
      </c>
      <c r="B19" s="1" t="s">
        <v>70</v>
      </c>
      <c r="C19" s="25" t="s">
        <v>123</v>
      </c>
      <c r="D19" s="24" t="s">
        <v>148</v>
      </c>
      <c r="E19" s="1" t="s">
        <v>152</v>
      </c>
      <c r="F19" s="1">
        <v>-22.321000000000002</v>
      </c>
      <c r="G19" s="1">
        <v>0.113</v>
      </c>
      <c r="H19" s="20">
        <v>-24.713999999999999</v>
      </c>
      <c r="I19" s="20">
        <v>0.24</v>
      </c>
      <c r="J19" s="20">
        <f>F19-H19</f>
        <v>2.3929999999999971</v>
      </c>
      <c r="K19" s="20">
        <f>SQRT((G19)^2 + (I19)^2)</f>
        <v>0.26527155897306443</v>
      </c>
      <c r="L19" s="20">
        <f>K19^2</f>
        <v>7.0369000000000001E-2</v>
      </c>
      <c r="M19" s="9">
        <v>0.83</v>
      </c>
      <c r="N19" s="20">
        <f>(J19-M19)^2</f>
        <v>2.4429689999999908</v>
      </c>
    </row>
    <row r="20" spans="1:14">
      <c r="F20" s="11"/>
      <c r="G20" s="11"/>
      <c r="H20" s="11"/>
      <c r="I20" s="11"/>
      <c r="J20" s="11"/>
      <c r="K20" s="11"/>
      <c r="L20" s="18" t="s">
        <v>67</v>
      </c>
      <c r="M20" s="18"/>
      <c r="N20" s="18" t="s">
        <v>67</v>
      </c>
    </row>
    <row r="21" spans="1:14">
      <c r="F21" s="11"/>
      <c r="G21" s="11"/>
      <c r="H21" s="11"/>
      <c r="I21" s="11"/>
      <c r="J21" s="11"/>
      <c r="K21" s="11"/>
      <c r="L21" s="20">
        <f>SUM(L3:L19)</f>
        <v>1.9496559999999998</v>
      </c>
      <c r="M21" s="20"/>
      <c r="N21" s="20">
        <f>SUM(N3:N19)</f>
        <v>32.132103999999998</v>
      </c>
    </row>
    <row r="22" spans="1:14">
      <c r="F22" s="11"/>
      <c r="G22" s="11"/>
      <c r="H22" s="11"/>
      <c r="I22" s="11"/>
      <c r="J22" s="11"/>
      <c r="K22" s="11"/>
      <c r="L22" s="20"/>
      <c r="M22" s="20"/>
      <c r="N22" s="20"/>
    </row>
    <row r="23" spans="1:14">
      <c r="F23" s="11"/>
      <c r="G23" s="11"/>
      <c r="H23" s="11"/>
      <c r="I23" s="11"/>
      <c r="J23" s="11"/>
      <c r="K23" s="11"/>
      <c r="L23" s="20"/>
      <c r="M23" s="19" t="s">
        <v>68</v>
      </c>
      <c r="N23" s="20">
        <f>SQRT(N21/17)</f>
        <v>1.3748177205382108</v>
      </c>
    </row>
    <row r="24" spans="1:14">
      <c r="F24" s="11"/>
      <c r="G24" s="11"/>
      <c r="H24" s="11"/>
      <c r="I24" s="11"/>
      <c r="J24" s="11"/>
      <c r="K24" s="11"/>
      <c r="L24" s="20"/>
      <c r="M24" s="19" t="s">
        <v>40</v>
      </c>
      <c r="N24" s="20">
        <f>SQRT(L21/17)</f>
        <v>0.33865269386027852</v>
      </c>
    </row>
    <row r="27" spans="1:14">
      <c r="A27" s="40" t="s">
        <v>217</v>
      </c>
    </row>
    <row r="28" spans="1:14">
      <c r="A28" s="12" t="s">
        <v>30</v>
      </c>
      <c r="B28" s="12" t="s">
        <v>31</v>
      </c>
      <c r="C28" s="13" t="s">
        <v>32</v>
      </c>
      <c r="D28" s="12" t="s">
        <v>33</v>
      </c>
      <c r="E28" s="12" t="s">
        <v>34</v>
      </c>
      <c r="F28" s="12" t="s">
        <v>35</v>
      </c>
      <c r="G28" s="12" t="s">
        <v>36</v>
      </c>
      <c r="H28" s="12" t="s">
        <v>37</v>
      </c>
      <c r="I28" s="12" t="s">
        <v>38</v>
      </c>
      <c r="J28" s="12" t="s">
        <v>39</v>
      </c>
      <c r="K28" s="14" t="s">
        <v>40</v>
      </c>
      <c r="L28" s="12" t="s">
        <v>41</v>
      </c>
      <c r="M28" s="12" t="s">
        <v>42</v>
      </c>
      <c r="N28" s="12" t="s">
        <v>43</v>
      </c>
    </row>
    <row r="29" spans="1:14">
      <c r="A29" s="26" t="s">
        <v>101</v>
      </c>
      <c r="B29" s="26" t="s">
        <v>46</v>
      </c>
      <c r="C29" s="25" t="s">
        <v>9</v>
      </c>
      <c r="D29" s="3" t="s">
        <v>83</v>
      </c>
      <c r="E29" s="1" t="s">
        <v>89</v>
      </c>
      <c r="F29" s="20">
        <v>-32.768000000000001</v>
      </c>
      <c r="G29" s="20">
        <v>0.253</v>
      </c>
      <c r="H29" s="20">
        <v>-37.600999999999999</v>
      </c>
      <c r="I29" s="20">
        <v>0.17</v>
      </c>
      <c r="J29" s="20">
        <f>F29-H29</f>
        <v>4.8329999999999984</v>
      </c>
      <c r="K29" s="20">
        <f>SQRT((G29)^2 + (I29)^2)</f>
        <v>0.304809776746088</v>
      </c>
      <c r="L29" s="20">
        <f>K29^2</f>
        <v>9.2909000000000005E-2</v>
      </c>
      <c r="M29" s="9">
        <v>1.48</v>
      </c>
      <c r="N29" s="20">
        <f>(J29-M29)^2</f>
        <v>11.242608999999989</v>
      </c>
    </row>
    <row r="30" spans="1:14">
      <c r="A30" s="26" t="s">
        <v>101</v>
      </c>
      <c r="B30" s="26" t="s">
        <v>46</v>
      </c>
      <c r="C30" s="25" t="s">
        <v>138</v>
      </c>
      <c r="D30" s="3" t="s">
        <v>139</v>
      </c>
      <c r="E30" s="1" t="s">
        <v>144</v>
      </c>
      <c r="F30" s="20">
        <v>-19.974</v>
      </c>
      <c r="G30" s="20">
        <v>0.98599999999999999</v>
      </c>
      <c r="H30" s="20">
        <v>-22.344999999999999</v>
      </c>
      <c r="I30" s="20">
        <v>0.19</v>
      </c>
      <c r="J30" s="20">
        <f t="shared" ref="J30" si="4">F30-H30</f>
        <v>2.3709999999999987</v>
      </c>
      <c r="K30" s="20">
        <f t="shared" ref="K30" si="5">SQRT((G30)^2 + (I30)^2)</f>
        <v>1.0041394325490858</v>
      </c>
      <c r="L30" s="20">
        <f t="shared" ref="L30" si="6">K30^2</f>
        <v>1.0082960000000001</v>
      </c>
      <c r="M30" s="9">
        <v>1.07</v>
      </c>
      <c r="N30" s="20">
        <f t="shared" ref="N30" si="7">(J30-M30)^2</f>
        <v>1.6926009999999965</v>
      </c>
    </row>
    <row r="31" spans="1:14">
      <c r="A31" s="15" t="s">
        <v>101</v>
      </c>
      <c r="B31" s="1" t="s">
        <v>70</v>
      </c>
      <c r="C31" s="25" t="s">
        <v>120</v>
      </c>
      <c r="D31" s="16" t="s">
        <v>147</v>
      </c>
      <c r="E31" s="1" t="s">
        <v>151</v>
      </c>
      <c r="F31" s="1">
        <v>-23.030999999999999</v>
      </c>
      <c r="G31" s="1">
        <v>0.14299999999999999</v>
      </c>
      <c r="H31" s="20">
        <v>-24.692</v>
      </c>
      <c r="I31" s="20">
        <v>6.7000000000000004E-2</v>
      </c>
      <c r="J31" s="20">
        <f>F31-H31</f>
        <v>1.6610000000000014</v>
      </c>
      <c r="K31" s="20">
        <f>SQRT((G31)^2 + (I31)^2)</f>
        <v>0.15791770008456935</v>
      </c>
      <c r="L31" s="20">
        <f>K31^2</f>
        <v>2.4937999999999991E-2</v>
      </c>
      <c r="M31" s="9">
        <v>-0.87</v>
      </c>
      <c r="N31" s="20">
        <f>(J31-M31)^2</f>
        <v>6.4059610000000076</v>
      </c>
    </row>
    <row r="32" spans="1:14">
      <c r="A32" s="15" t="s">
        <v>101</v>
      </c>
      <c r="B32" s="1" t="s">
        <v>70</v>
      </c>
      <c r="C32" s="25" t="s">
        <v>123</v>
      </c>
      <c r="D32" s="24" t="s">
        <v>148</v>
      </c>
      <c r="E32" s="1" t="s">
        <v>152</v>
      </c>
      <c r="F32" s="1">
        <v>-22.321000000000002</v>
      </c>
      <c r="G32" s="1">
        <v>0.113</v>
      </c>
      <c r="H32" s="20">
        <v>-24.713999999999999</v>
      </c>
      <c r="I32" s="20">
        <v>0.24</v>
      </c>
      <c r="J32" s="20">
        <f>F32-H32</f>
        <v>2.3929999999999971</v>
      </c>
      <c r="K32" s="20">
        <f>SQRT((G32)^2 + (I32)^2)</f>
        <v>0.26527155897306443</v>
      </c>
      <c r="L32" s="20">
        <f>K32^2</f>
        <v>7.0369000000000001E-2</v>
      </c>
      <c r="M32" s="9">
        <v>0.83</v>
      </c>
      <c r="N32" s="20">
        <f>(J32-M32)^2</f>
        <v>2.4429689999999908</v>
      </c>
    </row>
    <row r="37" spans="1:15">
      <c r="A37" s="40" t="s">
        <v>218</v>
      </c>
    </row>
    <row r="38" spans="1:15">
      <c r="A38" s="12" t="s">
        <v>30</v>
      </c>
      <c r="B38" s="12" t="s">
        <v>31</v>
      </c>
      <c r="C38" s="13" t="s">
        <v>32</v>
      </c>
      <c r="D38" s="12" t="s">
        <v>33</v>
      </c>
      <c r="E38" s="12" t="s">
        <v>34</v>
      </c>
      <c r="F38" s="12" t="s">
        <v>35</v>
      </c>
      <c r="G38" s="12" t="s">
        <v>36</v>
      </c>
      <c r="H38" s="12" t="s">
        <v>37</v>
      </c>
      <c r="I38" s="12" t="s">
        <v>38</v>
      </c>
      <c r="J38" s="12" t="s">
        <v>39</v>
      </c>
      <c r="K38" s="14" t="s">
        <v>40</v>
      </c>
      <c r="L38" s="12" t="s">
        <v>41</v>
      </c>
      <c r="M38" s="12" t="s">
        <v>42</v>
      </c>
      <c r="N38" s="12" t="s">
        <v>43</v>
      </c>
      <c r="O38" s="12" t="s">
        <v>44</v>
      </c>
    </row>
    <row r="39" spans="1:15">
      <c r="A39" s="26" t="s">
        <v>101</v>
      </c>
      <c r="B39" s="26" t="s">
        <v>46</v>
      </c>
      <c r="C39" s="25" t="s">
        <v>9</v>
      </c>
      <c r="D39" s="3" t="s">
        <v>83</v>
      </c>
      <c r="E39" s="1" t="s">
        <v>89</v>
      </c>
      <c r="F39">
        <v>-32.840000000000003</v>
      </c>
      <c r="G39">
        <v>0.185</v>
      </c>
      <c r="H39" s="20">
        <v>-37.600999999999999</v>
      </c>
      <c r="I39" s="20">
        <v>0.17</v>
      </c>
      <c r="J39" s="11">
        <f>F39-H39</f>
        <v>4.7609999999999957</v>
      </c>
      <c r="K39" s="11">
        <f>SQRT((G39)^2 + (I39)^2)</f>
        <v>0.25124689052802224</v>
      </c>
      <c r="L39" s="11">
        <f>K39^2</f>
        <v>6.3124999999999987E-2</v>
      </c>
      <c r="M39" s="9">
        <v>1.48</v>
      </c>
      <c r="N39" s="20">
        <f>(J39-M39)^2</f>
        <v>10.764960999999971</v>
      </c>
      <c r="O39" s="20" t="s">
        <v>222</v>
      </c>
    </row>
    <row r="40" spans="1:15">
      <c r="A40" s="26" t="s">
        <v>101</v>
      </c>
      <c r="B40" s="26" t="s">
        <v>46</v>
      </c>
      <c r="C40" s="25" t="s">
        <v>138</v>
      </c>
      <c r="D40" s="3" t="s">
        <v>139</v>
      </c>
      <c r="E40" s="1" t="s">
        <v>144</v>
      </c>
      <c r="F40">
        <v>-22.283000000000001</v>
      </c>
      <c r="G40">
        <v>0.33400000000000002</v>
      </c>
      <c r="H40" s="20">
        <v>-22.344999999999999</v>
      </c>
      <c r="I40" s="20">
        <v>0.19</v>
      </c>
      <c r="J40" s="11">
        <f t="shared" ref="J40:J42" si="8">F40-H40</f>
        <v>6.1999999999997613E-2</v>
      </c>
      <c r="K40" s="11">
        <f t="shared" ref="K40:K42" si="9">SQRT((G40)^2 + (I40)^2)</f>
        <v>0.38426032842332292</v>
      </c>
      <c r="L40" s="11">
        <f t="shared" ref="L40:L42" si="10">K40^2</f>
        <v>0.14765599999999998</v>
      </c>
      <c r="M40" s="9">
        <v>1.07</v>
      </c>
      <c r="N40" s="20">
        <f t="shared" ref="N40:N42" si="11">(J40-M40)^2</f>
        <v>1.016064000000005</v>
      </c>
      <c r="O40" s="20" t="s">
        <v>223</v>
      </c>
    </row>
    <row r="41" spans="1:15">
      <c r="A41" s="15" t="s">
        <v>101</v>
      </c>
      <c r="B41" s="1" t="s">
        <v>70</v>
      </c>
      <c r="C41" s="25" t="s">
        <v>120</v>
      </c>
      <c r="D41" s="16" t="s">
        <v>147</v>
      </c>
      <c r="E41" s="1" t="s">
        <v>151</v>
      </c>
      <c r="F41">
        <v>-23.221</v>
      </c>
      <c r="G41">
        <v>0.124</v>
      </c>
      <c r="H41" s="20">
        <v>-24.692</v>
      </c>
      <c r="I41" s="20">
        <v>6.7000000000000004E-2</v>
      </c>
      <c r="J41" s="11">
        <f t="shared" si="8"/>
        <v>1.4710000000000001</v>
      </c>
      <c r="K41" s="11">
        <f t="shared" si="9"/>
        <v>0.14094325099131211</v>
      </c>
      <c r="L41" s="11">
        <f t="shared" si="10"/>
        <v>1.9865000000000001E-2</v>
      </c>
      <c r="M41" s="9">
        <v>-0.87</v>
      </c>
      <c r="N41" s="20">
        <f t="shared" si="11"/>
        <v>5.4802810000000006</v>
      </c>
      <c r="O41" s="20" t="s">
        <v>224</v>
      </c>
    </row>
    <row r="42" spans="1:15">
      <c r="A42" s="15" t="s">
        <v>101</v>
      </c>
      <c r="B42" s="1" t="s">
        <v>70</v>
      </c>
      <c r="C42" s="25" t="s">
        <v>123</v>
      </c>
      <c r="D42" s="24" t="s">
        <v>148</v>
      </c>
      <c r="E42" s="1" t="s">
        <v>152</v>
      </c>
      <c r="F42">
        <v>-23.776</v>
      </c>
      <c r="G42">
        <v>0.28499999999999998</v>
      </c>
      <c r="H42" s="20">
        <v>-24.713999999999999</v>
      </c>
      <c r="I42" s="20">
        <v>0.24</v>
      </c>
      <c r="J42" s="11">
        <f t="shared" si="8"/>
        <v>0.93799999999999883</v>
      </c>
      <c r="K42" s="11">
        <f t="shared" si="9"/>
        <v>0.37259227045122656</v>
      </c>
      <c r="L42" s="11">
        <f t="shared" si="10"/>
        <v>0.13882499999999995</v>
      </c>
      <c r="M42" s="9">
        <v>0.83</v>
      </c>
      <c r="N42" s="20">
        <f t="shared" si="11"/>
        <v>1.1663999999999756E-2</v>
      </c>
      <c r="O42" s="20" t="s">
        <v>223</v>
      </c>
    </row>
    <row r="43" spans="1:15">
      <c r="J43" s="11"/>
      <c r="K43" s="11"/>
      <c r="L43" s="11"/>
      <c r="M43" s="11"/>
      <c r="N43" s="11"/>
      <c r="O43" s="11"/>
    </row>
    <row r="44" spans="1:15">
      <c r="J44" s="11"/>
      <c r="K44" s="11"/>
      <c r="L44" s="11"/>
      <c r="M44" s="11"/>
      <c r="N44" s="11"/>
      <c r="O44" s="11"/>
    </row>
    <row r="45" spans="1:15">
      <c r="J45" s="11"/>
      <c r="K45" s="11"/>
      <c r="L45" s="11"/>
      <c r="M45" s="11"/>
      <c r="N45" s="11"/>
      <c r="O45" s="11"/>
    </row>
    <row r="46" spans="1:15" ht="17">
      <c r="A46" s="10" t="s">
        <v>225</v>
      </c>
      <c r="B46" s="11"/>
      <c r="C46" s="11"/>
      <c r="D46" s="11"/>
      <c r="E46" s="11"/>
      <c r="F46" s="11"/>
      <c r="G46" s="11"/>
      <c r="H46" s="11"/>
      <c r="I46" s="11"/>
      <c r="J46" s="11"/>
      <c r="K46" s="11"/>
      <c r="L46" s="11"/>
      <c r="M46" s="11"/>
      <c r="N46" s="11"/>
      <c r="O46" s="11"/>
    </row>
    <row r="47" spans="1:15">
      <c r="A47" s="12" t="s">
        <v>30</v>
      </c>
      <c r="B47" s="12" t="s">
        <v>31</v>
      </c>
      <c r="C47" s="13" t="s">
        <v>32</v>
      </c>
      <c r="D47" s="12" t="s">
        <v>33</v>
      </c>
      <c r="E47" s="12" t="s">
        <v>34</v>
      </c>
      <c r="F47" s="12" t="s">
        <v>35</v>
      </c>
      <c r="G47" s="12" t="s">
        <v>36</v>
      </c>
      <c r="H47" s="12" t="s">
        <v>37</v>
      </c>
      <c r="I47" s="12" t="s">
        <v>38</v>
      </c>
      <c r="J47" s="12" t="s">
        <v>39</v>
      </c>
      <c r="K47" s="14" t="s">
        <v>40</v>
      </c>
      <c r="L47" s="12" t="s">
        <v>41</v>
      </c>
      <c r="M47" s="12" t="s">
        <v>42</v>
      </c>
      <c r="N47" s="12" t="s">
        <v>43</v>
      </c>
      <c r="O47" s="11"/>
    </row>
    <row r="48" spans="1:15">
      <c r="A48" s="26" t="s">
        <v>101</v>
      </c>
      <c r="B48" s="26" t="s">
        <v>46</v>
      </c>
      <c r="C48" s="25" t="s">
        <v>9</v>
      </c>
      <c r="D48" s="3" t="s">
        <v>83</v>
      </c>
      <c r="E48" s="1" t="s">
        <v>89</v>
      </c>
      <c r="F48">
        <v>-32.840000000000003</v>
      </c>
      <c r="G48">
        <v>0.185</v>
      </c>
      <c r="H48" s="20">
        <v>-37.600999999999999</v>
      </c>
      <c r="I48" s="20">
        <v>0.17</v>
      </c>
      <c r="J48" s="11">
        <f>F48-H48</f>
        <v>4.7609999999999957</v>
      </c>
      <c r="K48" s="11">
        <f>SQRT((G48)^2 + (I48)^2)</f>
        <v>0.25124689052802224</v>
      </c>
      <c r="L48" s="11">
        <f>K48^2</f>
        <v>6.3124999999999987E-2</v>
      </c>
      <c r="M48" s="9">
        <v>1.48</v>
      </c>
      <c r="N48" s="20">
        <f>(J48-M48)^2</f>
        <v>10.764960999999971</v>
      </c>
      <c r="O48" s="11"/>
    </row>
    <row r="49" spans="1:15">
      <c r="A49" s="26" t="s">
        <v>101</v>
      </c>
      <c r="B49" s="26" t="s">
        <v>46</v>
      </c>
      <c r="C49" s="16" t="s">
        <v>11</v>
      </c>
      <c r="D49" s="3" t="s">
        <v>84</v>
      </c>
      <c r="E49" s="1" t="s">
        <v>90</v>
      </c>
      <c r="F49" s="20">
        <v>-40.853999999999999</v>
      </c>
      <c r="G49" s="20">
        <v>0.308</v>
      </c>
      <c r="H49" s="20">
        <v>-42.293999999999997</v>
      </c>
      <c r="I49" s="20">
        <v>9.8000000000000004E-2</v>
      </c>
      <c r="J49" s="20">
        <f t="shared" ref="J49:J60" si="12">F49-H49</f>
        <v>1.4399999999999977</v>
      </c>
      <c r="K49" s="20">
        <f t="shared" ref="K49:K60" si="13">SQRT((G49)^2 + (I49)^2)</f>
        <v>0.32321509865722547</v>
      </c>
      <c r="L49" s="20">
        <f t="shared" ref="L49:L60" si="14">K49^2</f>
        <v>0.10446799999999999</v>
      </c>
      <c r="M49" s="9">
        <v>1.33</v>
      </c>
      <c r="N49" s="20">
        <f t="shared" ref="N49:N60" si="15">(J49-M49)^2</f>
        <v>1.2099999999999484E-2</v>
      </c>
      <c r="O49" s="11"/>
    </row>
    <row r="50" spans="1:15">
      <c r="A50" s="26" t="s">
        <v>82</v>
      </c>
      <c r="B50" s="26" t="s">
        <v>46</v>
      </c>
      <c r="C50" s="16" t="s">
        <v>121</v>
      </c>
      <c r="D50" s="3" t="s">
        <v>122</v>
      </c>
      <c r="E50" s="1" t="s">
        <v>140</v>
      </c>
      <c r="F50" s="20">
        <v>5.5069999999999997</v>
      </c>
      <c r="G50" s="20">
        <v>0.38500000000000001</v>
      </c>
      <c r="H50" s="20">
        <v>6.383</v>
      </c>
      <c r="I50" s="20">
        <v>0.16400000000000001</v>
      </c>
      <c r="J50" s="20">
        <f t="shared" si="12"/>
        <v>-0.87600000000000033</v>
      </c>
      <c r="K50" s="20">
        <f t="shared" si="13"/>
        <v>0.41847461093834593</v>
      </c>
      <c r="L50" s="20">
        <f t="shared" si="14"/>
        <v>0.175121</v>
      </c>
      <c r="M50" s="9">
        <v>0.05</v>
      </c>
      <c r="N50" s="20">
        <f t="shared" si="15"/>
        <v>0.85747600000000068</v>
      </c>
    </row>
    <row r="51" spans="1:15">
      <c r="A51" s="26" t="s">
        <v>101</v>
      </c>
      <c r="B51" s="26" t="s">
        <v>46</v>
      </c>
      <c r="C51" s="16" t="s">
        <v>124</v>
      </c>
      <c r="D51" s="3" t="s">
        <v>125</v>
      </c>
      <c r="E51" s="1" t="s">
        <v>58</v>
      </c>
      <c r="F51" s="20">
        <v>-39.872999999999998</v>
      </c>
      <c r="G51" s="20">
        <v>0.33900000000000002</v>
      </c>
      <c r="H51" s="20">
        <v>-42.363</v>
      </c>
      <c r="I51" s="20">
        <v>4.7E-2</v>
      </c>
      <c r="J51" s="20">
        <f t="shared" si="12"/>
        <v>2.490000000000002</v>
      </c>
      <c r="K51" s="20">
        <f t="shared" si="13"/>
        <v>0.34224260401066375</v>
      </c>
      <c r="L51" s="20">
        <f t="shared" si="14"/>
        <v>0.11713</v>
      </c>
      <c r="M51" s="9">
        <v>0.76</v>
      </c>
      <c r="N51" s="20">
        <f t="shared" si="15"/>
        <v>2.9929000000000068</v>
      </c>
    </row>
    <row r="52" spans="1:15">
      <c r="A52" s="26" t="s">
        <v>82</v>
      </c>
      <c r="B52" s="26" t="s">
        <v>46</v>
      </c>
      <c r="C52" s="16" t="s">
        <v>126</v>
      </c>
      <c r="D52" s="3" t="s">
        <v>50</v>
      </c>
      <c r="E52" s="1" t="s">
        <v>59</v>
      </c>
      <c r="F52" s="20">
        <v>15.722</v>
      </c>
      <c r="G52" s="20">
        <v>0.17100000000000001</v>
      </c>
      <c r="H52" s="20">
        <v>13.2</v>
      </c>
      <c r="I52" s="20">
        <v>0.107</v>
      </c>
      <c r="J52" s="20">
        <f t="shared" si="12"/>
        <v>2.5220000000000002</v>
      </c>
      <c r="K52" s="20">
        <f t="shared" si="13"/>
        <v>0.20171762441591465</v>
      </c>
      <c r="L52" s="20">
        <f t="shared" si="14"/>
        <v>4.0690000000000004E-2</v>
      </c>
      <c r="M52" s="9">
        <v>0.35</v>
      </c>
      <c r="N52" s="20">
        <f t="shared" si="15"/>
        <v>4.7175840000000004</v>
      </c>
    </row>
    <row r="53" spans="1:15">
      <c r="A53" s="26" t="s">
        <v>82</v>
      </c>
      <c r="B53" s="26" t="s">
        <v>46</v>
      </c>
      <c r="C53" s="16" t="s">
        <v>127</v>
      </c>
      <c r="D53" s="3" t="s">
        <v>51</v>
      </c>
      <c r="E53" s="1" t="s">
        <v>60</v>
      </c>
      <c r="F53" s="20">
        <v>-5.3150000000000004</v>
      </c>
      <c r="G53" s="20">
        <v>0.23</v>
      </c>
      <c r="H53" s="20">
        <v>-5.7530000000000001</v>
      </c>
      <c r="I53" s="20">
        <v>7.6999999999999999E-2</v>
      </c>
      <c r="J53" s="20">
        <f t="shared" si="12"/>
        <v>0.43799999999999972</v>
      </c>
      <c r="K53" s="20">
        <f t="shared" si="13"/>
        <v>0.24254690268069803</v>
      </c>
      <c r="L53" s="20">
        <f t="shared" si="14"/>
        <v>5.8829000000000006E-2</v>
      </c>
      <c r="M53" s="9">
        <v>1.25</v>
      </c>
      <c r="N53" s="20">
        <f t="shared" si="15"/>
        <v>0.65934400000000049</v>
      </c>
    </row>
    <row r="54" spans="1:15">
      <c r="A54" s="26" t="s">
        <v>82</v>
      </c>
      <c r="B54" s="26" t="s">
        <v>46</v>
      </c>
      <c r="C54" s="16" t="s">
        <v>128</v>
      </c>
      <c r="D54" s="3" t="s">
        <v>129</v>
      </c>
      <c r="E54" s="1" t="s">
        <v>61</v>
      </c>
      <c r="F54" s="20">
        <v>-5.4610000000000003</v>
      </c>
      <c r="G54" s="20">
        <v>6.9000000000000006E-2</v>
      </c>
      <c r="H54" s="20">
        <v>-6.91</v>
      </c>
      <c r="I54" s="20">
        <v>4.4999999999999998E-2</v>
      </c>
      <c r="J54" s="20">
        <f t="shared" si="12"/>
        <v>1.4489999999999998</v>
      </c>
      <c r="K54" s="20">
        <f t="shared" si="13"/>
        <v>8.2377181306475894E-2</v>
      </c>
      <c r="L54" s="20">
        <f t="shared" si="14"/>
        <v>6.7860000000000012E-3</v>
      </c>
      <c r="M54" s="9">
        <v>1.1499999999999999</v>
      </c>
      <c r="N54" s="20">
        <f t="shared" si="15"/>
        <v>8.9400999999999953E-2</v>
      </c>
    </row>
    <row r="55" spans="1:15">
      <c r="A55" s="26" t="s">
        <v>82</v>
      </c>
      <c r="B55" s="26" t="s">
        <v>46</v>
      </c>
      <c r="C55" s="16" t="s">
        <v>130</v>
      </c>
      <c r="D55" s="3" t="s">
        <v>85</v>
      </c>
      <c r="E55" s="1" t="s">
        <v>91</v>
      </c>
      <c r="F55" s="20">
        <v>-5.7610000000000001</v>
      </c>
      <c r="G55" s="20">
        <v>0.127</v>
      </c>
      <c r="H55" s="20">
        <v>-5.8780000000000001</v>
      </c>
      <c r="I55" s="20">
        <v>0.34499999999999997</v>
      </c>
      <c r="J55" s="20">
        <f t="shared" si="12"/>
        <v>0.11699999999999999</v>
      </c>
      <c r="K55" s="20">
        <f t="shared" si="13"/>
        <v>0.36763296914177862</v>
      </c>
      <c r="L55" s="20">
        <f t="shared" si="14"/>
        <v>0.13515399999999994</v>
      </c>
      <c r="M55" s="9">
        <v>0.86</v>
      </c>
      <c r="N55" s="20">
        <f t="shared" si="15"/>
        <v>0.55204900000000001</v>
      </c>
    </row>
    <row r="56" spans="1:15">
      <c r="A56" s="26" t="s">
        <v>82</v>
      </c>
      <c r="B56" s="26" t="s">
        <v>46</v>
      </c>
      <c r="C56" s="16" t="s">
        <v>131</v>
      </c>
      <c r="D56" s="3" t="s">
        <v>132</v>
      </c>
      <c r="E56" s="1" t="s">
        <v>141</v>
      </c>
      <c r="F56" s="20">
        <v>47.466999999999999</v>
      </c>
      <c r="G56" s="20">
        <v>9.4E-2</v>
      </c>
      <c r="H56" s="20">
        <v>46.307000000000002</v>
      </c>
      <c r="I56" s="20">
        <v>4.3999999999999997E-2</v>
      </c>
      <c r="J56" s="20">
        <f t="shared" si="12"/>
        <v>1.1599999999999966</v>
      </c>
      <c r="K56" s="20">
        <f t="shared" si="13"/>
        <v>0.10378824596263297</v>
      </c>
      <c r="L56" s="20">
        <f t="shared" si="14"/>
        <v>1.0772E-2</v>
      </c>
      <c r="M56" s="9">
        <v>1.1100000000000001</v>
      </c>
      <c r="N56" s="20">
        <f t="shared" si="15"/>
        <v>2.4999999999996492E-3</v>
      </c>
    </row>
    <row r="57" spans="1:15">
      <c r="A57" s="26" t="s">
        <v>82</v>
      </c>
      <c r="B57" s="26" t="s">
        <v>46</v>
      </c>
      <c r="C57" s="16" t="s">
        <v>133</v>
      </c>
      <c r="D57" s="3" t="s">
        <v>53</v>
      </c>
      <c r="E57" s="1" t="s">
        <v>62</v>
      </c>
      <c r="F57" s="20">
        <v>46.466999999999999</v>
      </c>
      <c r="G57" s="20">
        <v>0.20399999999999999</v>
      </c>
      <c r="H57" s="20">
        <v>45.91</v>
      </c>
      <c r="I57" s="20">
        <v>4.7E-2</v>
      </c>
      <c r="J57" s="20">
        <f t="shared" si="12"/>
        <v>0.55700000000000216</v>
      </c>
      <c r="K57" s="20">
        <f t="shared" si="13"/>
        <v>0.20934421415458321</v>
      </c>
      <c r="L57" s="20">
        <f t="shared" si="14"/>
        <v>4.3824999999999996E-2</v>
      </c>
      <c r="M57" s="9">
        <v>0.55000000000000004</v>
      </c>
      <c r="N57" s="20">
        <f t="shared" si="15"/>
        <v>4.9000000000029617E-5</v>
      </c>
    </row>
    <row r="58" spans="1:15">
      <c r="A58" s="26" t="s">
        <v>82</v>
      </c>
      <c r="B58" s="26" t="s">
        <v>46</v>
      </c>
      <c r="C58" s="16" t="s">
        <v>134</v>
      </c>
      <c r="D58" s="3" t="s">
        <v>135</v>
      </c>
      <c r="E58" s="1" t="s">
        <v>142</v>
      </c>
      <c r="F58" s="20">
        <v>46.451000000000001</v>
      </c>
      <c r="G58" s="20">
        <v>5.8999999999999997E-2</v>
      </c>
      <c r="H58" s="20">
        <v>46.646999999999998</v>
      </c>
      <c r="I58" s="20">
        <v>3.5000000000000003E-2</v>
      </c>
      <c r="J58" s="20">
        <f t="shared" si="12"/>
        <v>-0.19599999999999795</v>
      </c>
      <c r="K58" s="20">
        <f t="shared" si="13"/>
        <v>6.860029154456998E-2</v>
      </c>
      <c r="L58" s="20">
        <f t="shared" si="14"/>
        <v>4.7059999999999992E-3</v>
      </c>
      <c r="M58" s="9">
        <v>0.09</v>
      </c>
      <c r="N58" s="20">
        <f t="shared" si="15"/>
        <v>8.1795999999998814E-2</v>
      </c>
    </row>
    <row r="59" spans="1:15">
      <c r="A59" s="26" t="s">
        <v>82</v>
      </c>
      <c r="B59" s="26" t="s">
        <v>46</v>
      </c>
      <c r="C59" s="16" t="s">
        <v>136</v>
      </c>
      <c r="D59" s="3" t="s">
        <v>137</v>
      </c>
      <c r="E59" s="1" t="s">
        <v>143</v>
      </c>
      <c r="F59" s="20">
        <v>-8.4580000000000002</v>
      </c>
      <c r="G59" s="20">
        <v>0.1</v>
      </c>
      <c r="H59" s="20">
        <v>-8.6940000000000008</v>
      </c>
      <c r="I59" s="20">
        <v>0.13100000000000001</v>
      </c>
      <c r="J59" s="20">
        <f t="shared" si="12"/>
        <v>0.23600000000000065</v>
      </c>
      <c r="K59" s="20">
        <f t="shared" si="13"/>
        <v>0.1648059464946578</v>
      </c>
      <c r="L59" s="20">
        <f t="shared" si="14"/>
        <v>2.7161000000000008E-2</v>
      </c>
      <c r="M59" s="9">
        <v>0.83</v>
      </c>
      <c r="N59" s="20">
        <f t="shared" si="15"/>
        <v>0.35283599999999915</v>
      </c>
    </row>
    <row r="60" spans="1:15">
      <c r="A60" s="26" t="s">
        <v>101</v>
      </c>
      <c r="B60" s="26" t="s">
        <v>46</v>
      </c>
      <c r="C60" s="25" t="s">
        <v>138</v>
      </c>
      <c r="D60" s="3" t="s">
        <v>139</v>
      </c>
      <c r="E60" s="1" t="s">
        <v>144</v>
      </c>
      <c r="F60">
        <v>-22.283000000000001</v>
      </c>
      <c r="G60">
        <v>0.33400000000000002</v>
      </c>
      <c r="H60" s="20">
        <v>-22.344999999999999</v>
      </c>
      <c r="I60" s="20">
        <v>0.19</v>
      </c>
      <c r="J60" s="11">
        <f t="shared" si="12"/>
        <v>6.1999999999997613E-2</v>
      </c>
      <c r="K60" s="11">
        <f t="shared" si="13"/>
        <v>0.38426032842332292</v>
      </c>
      <c r="L60" s="11">
        <f t="shared" si="14"/>
        <v>0.14765599999999998</v>
      </c>
      <c r="M60" s="9">
        <v>1.07</v>
      </c>
      <c r="N60" s="20">
        <f t="shared" si="15"/>
        <v>1.016064000000005</v>
      </c>
    </row>
    <row r="61" spans="1:15">
      <c r="A61" s="15" t="s">
        <v>82</v>
      </c>
      <c r="B61" s="1" t="s">
        <v>70</v>
      </c>
      <c r="C61" s="16" t="s">
        <v>4</v>
      </c>
      <c r="D61" s="16" t="s">
        <v>145</v>
      </c>
      <c r="E61" s="1" t="s">
        <v>149</v>
      </c>
      <c r="F61" s="1">
        <v>46.143999999999998</v>
      </c>
      <c r="G61" s="1">
        <v>6.0999999999999999E-2</v>
      </c>
      <c r="H61" s="20">
        <v>46.198999999999998</v>
      </c>
      <c r="I61" s="20">
        <v>0.114</v>
      </c>
      <c r="J61" s="20">
        <f>F61-H61</f>
        <v>-5.4999999999999716E-2</v>
      </c>
      <c r="K61" s="20">
        <f>SQRT((G61)^2 + (I61)^2)</f>
        <v>0.12929423807734047</v>
      </c>
      <c r="L61" s="20">
        <f>K61^2</f>
        <v>1.6716999999999999E-2</v>
      </c>
      <c r="M61" s="9">
        <v>-0.22</v>
      </c>
      <c r="N61" s="20">
        <f>(J61-M61)^2</f>
        <v>2.7225000000000093E-2</v>
      </c>
    </row>
    <row r="62" spans="1:15">
      <c r="A62" s="15" t="s">
        <v>82</v>
      </c>
      <c r="B62" s="1" t="s">
        <v>70</v>
      </c>
      <c r="C62" s="16" t="s">
        <v>119</v>
      </c>
      <c r="D62" s="16" t="s">
        <v>146</v>
      </c>
      <c r="E62" s="1" t="s">
        <v>150</v>
      </c>
      <c r="F62" s="1">
        <v>68.542000000000002</v>
      </c>
      <c r="G62" s="1">
        <v>5.6000000000000001E-2</v>
      </c>
      <c r="H62" s="20">
        <v>68.394000000000005</v>
      </c>
      <c r="I62" s="20">
        <v>9.2999999999999999E-2</v>
      </c>
      <c r="J62" s="20">
        <f>F62-H62</f>
        <v>0.14799999999999613</v>
      </c>
      <c r="K62" s="20">
        <f>SQRT((G62)^2 + (I62)^2)</f>
        <v>0.10855873986004075</v>
      </c>
      <c r="L62" s="20">
        <f>K62^2</f>
        <v>1.1785E-2</v>
      </c>
      <c r="M62" s="9">
        <v>0.2</v>
      </c>
      <c r="N62" s="20">
        <f>(J62-M62)^2</f>
        <v>2.7040000000004031E-3</v>
      </c>
    </row>
    <row r="63" spans="1:15">
      <c r="A63" s="15" t="s">
        <v>101</v>
      </c>
      <c r="B63" s="1" t="s">
        <v>70</v>
      </c>
      <c r="C63" s="25" t="s">
        <v>120</v>
      </c>
      <c r="D63" s="16" t="s">
        <v>147</v>
      </c>
      <c r="E63" s="1" t="s">
        <v>151</v>
      </c>
      <c r="F63">
        <v>-23.221</v>
      </c>
      <c r="G63">
        <v>0.124</v>
      </c>
      <c r="H63" s="20">
        <v>-24.692</v>
      </c>
      <c r="I63" s="20">
        <v>6.7000000000000004E-2</v>
      </c>
      <c r="J63" s="11">
        <f t="shared" ref="J63:J64" si="16">F63-H63</f>
        <v>1.4710000000000001</v>
      </c>
      <c r="K63" s="11">
        <f t="shared" ref="K63:K64" si="17">SQRT((G63)^2 + (I63)^2)</f>
        <v>0.14094325099131211</v>
      </c>
      <c r="L63" s="11">
        <f t="shared" ref="L63:L64" si="18">K63^2</f>
        <v>1.9865000000000001E-2</v>
      </c>
      <c r="M63" s="9">
        <v>-0.87</v>
      </c>
      <c r="N63" s="20">
        <f t="shared" ref="N63:N64" si="19">(J63-M63)^2</f>
        <v>5.4802810000000006</v>
      </c>
    </row>
    <row r="64" spans="1:15">
      <c r="A64" s="15" t="s">
        <v>101</v>
      </c>
      <c r="B64" s="1" t="s">
        <v>70</v>
      </c>
      <c r="C64" s="25" t="s">
        <v>123</v>
      </c>
      <c r="D64" s="24" t="s">
        <v>148</v>
      </c>
      <c r="E64" s="1" t="s">
        <v>152</v>
      </c>
      <c r="F64">
        <v>-23.776</v>
      </c>
      <c r="G64">
        <v>0.28499999999999998</v>
      </c>
      <c r="H64" s="20">
        <v>-24.713999999999999</v>
      </c>
      <c r="I64" s="20">
        <v>0.24</v>
      </c>
      <c r="J64" s="11">
        <f t="shared" si="16"/>
        <v>0.93799999999999883</v>
      </c>
      <c r="K64" s="11">
        <f t="shared" si="17"/>
        <v>0.37259227045122656</v>
      </c>
      <c r="L64" s="11">
        <f t="shared" si="18"/>
        <v>0.13882499999999995</v>
      </c>
      <c r="M64" s="9">
        <v>0.83</v>
      </c>
      <c r="N64" s="20">
        <f t="shared" si="19"/>
        <v>1.1663999999999756E-2</v>
      </c>
    </row>
    <row r="65" spans="12:14">
      <c r="L65" s="18" t="s">
        <v>67</v>
      </c>
      <c r="M65" s="18"/>
      <c r="N65" s="18" t="s">
        <v>67</v>
      </c>
    </row>
    <row r="66" spans="12:14">
      <c r="L66" s="11">
        <f>SUM(L48:L64)</f>
        <v>1.1226149999999999</v>
      </c>
      <c r="N66" s="11">
        <f>SUM(N48:N64)</f>
        <v>27.620933999999988</v>
      </c>
    </row>
    <row r="68" spans="12:14">
      <c r="M68" s="19" t="s">
        <v>68</v>
      </c>
      <c r="N68" s="20">
        <f>SQRT(N66/17)</f>
        <v>1.2746610622159176</v>
      </c>
    </row>
    <row r="69" spans="12:14">
      <c r="M69" s="19" t="s">
        <v>40</v>
      </c>
      <c r="N69" s="20">
        <f>SQRT(L66/17)</f>
        <v>0.2569750502881325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565B-5CE8-C64B-ABF2-04EB6100DEB6}">
  <dimension ref="A1:P79"/>
  <sheetViews>
    <sheetView topLeftCell="A42" zoomScaleNormal="100" workbookViewId="0">
      <selection activeCell="M78" sqref="M78:M79"/>
    </sheetView>
  </sheetViews>
  <sheetFormatPr baseColWidth="10" defaultRowHeight="16"/>
  <cols>
    <col min="3" max="3" width="17.83203125" customWidth="1"/>
    <col min="4" max="4" width="12.6640625" customWidth="1"/>
    <col min="6" max="6" width="18" customWidth="1"/>
    <col min="7" max="7" width="20.1640625" customWidth="1"/>
    <col min="8" max="8" width="15.83203125" customWidth="1"/>
    <col min="9" max="9" width="19.83203125" customWidth="1"/>
    <col min="11" max="11" width="15.1640625" customWidth="1"/>
    <col min="12" max="12" width="14.83203125" customWidth="1"/>
    <col min="14" max="14" width="15.1640625" customWidth="1"/>
    <col min="15" max="15" width="18.6640625" customWidth="1"/>
  </cols>
  <sheetData>
    <row r="1" spans="1:14" ht="17">
      <c r="A1" s="10" t="s">
        <v>221</v>
      </c>
      <c r="B1" s="11"/>
      <c r="C1" s="11"/>
      <c r="D1" s="11"/>
      <c r="E1" s="11"/>
      <c r="F1" s="11"/>
      <c r="G1" s="11"/>
      <c r="H1" s="11"/>
      <c r="I1" s="11"/>
      <c r="J1" s="11"/>
      <c r="K1" s="11"/>
      <c r="L1" s="11"/>
      <c r="M1" s="11"/>
      <c r="N1" s="11"/>
    </row>
    <row r="2" spans="1:14">
      <c r="A2" s="12" t="s">
        <v>30</v>
      </c>
      <c r="B2" s="12" t="s">
        <v>31</v>
      </c>
      <c r="C2" s="13" t="s">
        <v>32</v>
      </c>
      <c r="D2" s="12" t="s">
        <v>33</v>
      </c>
      <c r="E2" s="12" t="s">
        <v>34</v>
      </c>
      <c r="F2" s="12" t="s">
        <v>35</v>
      </c>
      <c r="G2" s="12" t="s">
        <v>36</v>
      </c>
      <c r="H2" s="12" t="s">
        <v>37</v>
      </c>
      <c r="I2" s="12" t="s">
        <v>38</v>
      </c>
      <c r="J2" s="12" t="s">
        <v>39</v>
      </c>
      <c r="K2" s="14" t="s">
        <v>40</v>
      </c>
      <c r="L2" s="12" t="s">
        <v>41</v>
      </c>
      <c r="M2" s="12" t="s">
        <v>42</v>
      </c>
      <c r="N2" s="12" t="s">
        <v>43</v>
      </c>
    </row>
    <row r="3" spans="1:14">
      <c r="A3" s="26" t="s">
        <v>82</v>
      </c>
      <c r="B3" s="26" t="s">
        <v>46</v>
      </c>
      <c r="C3" s="3" t="s">
        <v>162</v>
      </c>
      <c r="D3" s="3" t="s">
        <v>199</v>
      </c>
      <c r="E3" s="1" t="s">
        <v>202</v>
      </c>
      <c r="F3" s="20">
        <v>4.7489999999999997</v>
      </c>
      <c r="G3" s="20">
        <v>0.39800000000000002</v>
      </c>
      <c r="H3" s="20">
        <v>2.6240000000000001</v>
      </c>
      <c r="I3" s="20">
        <v>0.248</v>
      </c>
      <c r="J3" s="20">
        <f>F3-H3</f>
        <v>2.1249999999999996</v>
      </c>
      <c r="K3" s="20">
        <f>SQRT((G3)^2 + (I3)^2)</f>
        <v>0.46894349339765873</v>
      </c>
      <c r="L3" s="20">
        <f>K3^2</f>
        <v>0.21990799999999999</v>
      </c>
      <c r="M3" s="8">
        <v>0.56999999999999995</v>
      </c>
      <c r="N3" s="20">
        <f>(J3-M3)^2</f>
        <v>2.4180249999999992</v>
      </c>
    </row>
    <row r="4" spans="1:14">
      <c r="A4" s="1" t="s">
        <v>101</v>
      </c>
      <c r="B4" s="26" t="s">
        <v>46</v>
      </c>
      <c r="C4" s="6" t="s">
        <v>9</v>
      </c>
      <c r="D4" s="3" t="s">
        <v>200</v>
      </c>
      <c r="E4" s="1" t="s">
        <v>203</v>
      </c>
      <c r="F4" s="20">
        <v>-38.622</v>
      </c>
      <c r="G4" s="20">
        <v>0.70099999999999996</v>
      </c>
      <c r="H4" s="20">
        <v>-40.954999999999998</v>
      </c>
      <c r="I4" s="20">
        <v>0.219</v>
      </c>
      <c r="J4" s="20">
        <f t="shared" ref="J4:J16" si="0">F4-H4</f>
        <v>2.3329999999999984</v>
      </c>
      <c r="K4" s="20">
        <f t="shared" ref="K4:K16" si="1">SQRT((G4)^2 + (I4)^2)</f>
        <v>0.73441269052216129</v>
      </c>
      <c r="L4" s="20">
        <f t="shared" ref="L4:L16" si="2">K4^2</f>
        <v>0.5393619999999999</v>
      </c>
      <c r="M4" s="8">
        <v>1.07</v>
      </c>
      <c r="N4" s="20">
        <f t="shared" ref="N4:N16" si="3">(J4-M4)^2</f>
        <v>1.5951689999999958</v>
      </c>
    </row>
    <row r="5" spans="1:14">
      <c r="A5" s="1" t="s">
        <v>101</v>
      </c>
      <c r="B5" s="26" t="s">
        <v>46</v>
      </c>
      <c r="C5" s="6" t="s">
        <v>11</v>
      </c>
      <c r="D5" s="3" t="s">
        <v>176</v>
      </c>
      <c r="E5" s="1" t="s">
        <v>186</v>
      </c>
      <c r="F5" s="20">
        <v>-41.331000000000003</v>
      </c>
      <c r="G5" s="20">
        <v>0.25800000000000001</v>
      </c>
      <c r="H5" s="20">
        <v>-43.83</v>
      </c>
      <c r="I5" s="20">
        <v>0.17</v>
      </c>
      <c r="J5" s="20">
        <f t="shared" si="0"/>
        <v>2.4989999999999952</v>
      </c>
      <c r="K5" s="20">
        <f t="shared" si="1"/>
        <v>0.30897249068485044</v>
      </c>
      <c r="L5" s="20">
        <f t="shared" si="2"/>
        <v>9.5463999999999993E-2</v>
      </c>
      <c r="M5" s="8">
        <v>1.53</v>
      </c>
      <c r="N5" s="20">
        <f t="shared" si="3"/>
        <v>0.93896099999999072</v>
      </c>
    </row>
    <row r="6" spans="1:14">
      <c r="A6" s="26" t="s">
        <v>82</v>
      </c>
      <c r="B6" s="26" t="s">
        <v>46</v>
      </c>
      <c r="C6" s="3" t="s">
        <v>166</v>
      </c>
      <c r="D6" s="3" t="s">
        <v>125</v>
      </c>
      <c r="E6" s="1" t="s">
        <v>204</v>
      </c>
      <c r="F6" s="20">
        <v>-4.3090000000000002</v>
      </c>
      <c r="G6" s="20">
        <v>0.23400000000000001</v>
      </c>
      <c r="H6" s="20">
        <v>-4.2960000000000003</v>
      </c>
      <c r="I6" s="20">
        <v>4.8000000000000001E-2</v>
      </c>
      <c r="J6" s="20">
        <f t="shared" si="0"/>
        <v>-1.2999999999999901E-2</v>
      </c>
      <c r="K6" s="20">
        <f t="shared" si="1"/>
        <v>0.23887235084873262</v>
      </c>
      <c r="L6" s="20">
        <f t="shared" si="2"/>
        <v>5.7060000000000013E-2</v>
      </c>
      <c r="M6" s="8">
        <v>-0.82</v>
      </c>
      <c r="N6" s="20">
        <f t="shared" si="3"/>
        <v>0.65124900000000008</v>
      </c>
    </row>
    <row r="7" spans="1:14">
      <c r="A7" s="26" t="s">
        <v>82</v>
      </c>
      <c r="B7" s="26" t="s">
        <v>46</v>
      </c>
      <c r="C7" s="3" t="s">
        <v>167</v>
      </c>
      <c r="D7" s="3" t="s">
        <v>178</v>
      </c>
      <c r="E7" s="1" t="s">
        <v>59</v>
      </c>
      <c r="F7" s="20">
        <v>12.282999999999999</v>
      </c>
      <c r="G7" s="20">
        <v>0.18</v>
      </c>
      <c r="H7" s="20">
        <v>12.984999999999999</v>
      </c>
      <c r="I7" s="20">
        <v>3.4000000000000002E-2</v>
      </c>
      <c r="J7" s="20">
        <f t="shared" si="0"/>
        <v>-0.70199999999999996</v>
      </c>
      <c r="K7" s="20">
        <f t="shared" si="1"/>
        <v>0.18318296864064626</v>
      </c>
      <c r="L7" s="20">
        <f t="shared" si="2"/>
        <v>3.3555999999999989E-2</v>
      </c>
      <c r="M7" s="8">
        <v>-0.85</v>
      </c>
      <c r="N7" s="20">
        <f t="shared" si="3"/>
        <v>2.1904000000000007E-2</v>
      </c>
    </row>
    <row r="8" spans="1:14">
      <c r="A8" s="26" t="s">
        <v>82</v>
      </c>
      <c r="B8" s="26" t="s">
        <v>46</v>
      </c>
      <c r="C8" s="3" t="s">
        <v>13</v>
      </c>
      <c r="D8" s="3" t="s">
        <v>179</v>
      </c>
      <c r="E8" s="1" t="s">
        <v>187</v>
      </c>
      <c r="F8" s="20">
        <v>16.119</v>
      </c>
      <c r="G8" s="20">
        <v>0.214</v>
      </c>
      <c r="H8" s="20">
        <v>13.843</v>
      </c>
      <c r="I8" s="20">
        <v>9.2999999999999999E-2</v>
      </c>
      <c r="J8" s="20">
        <f t="shared" si="0"/>
        <v>2.2759999999999998</v>
      </c>
      <c r="K8" s="20">
        <f t="shared" si="1"/>
        <v>0.23333452380648689</v>
      </c>
      <c r="L8" s="20">
        <f t="shared" si="2"/>
        <v>5.4445E-2</v>
      </c>
      <c r="M8" s="8">
        <v>0.46</v>
      </c>
      <c r="N8" s="20">
        <f t="shared" si="3"/>
        <v>3.2978559999999995</v>
      </c>
    </row>
    <row r="9" spans="1:14">
      <c r="A9" s="26" t="s">
        <v>82</v>
      </c>
      <c r="B9" s="26" t="s">
        <v>46</v>
      </c>
      <c r="C9" s="3" t="s">
        <v>168</v>
      </c>
      <c r="D9" s="3" t="s">
        <v>180</v>
      </c>
      <c r="E9" s="1" t="s">
        <v>61</v>
      </c>
      <c r="F9" s="20">
        <v>-4.7889999999999997</v>
      </c>
      <c r="G9" s="20">
        <v>9.2999999999999999E-2</v>
      </c>
      <c r="H9" s="20">
        <v>-4.9820000000000002</v>
      </c>
      <c r="I9" s="20">
        <v>1.9E-2</v>
      </c>
      <c r="J9" s="20">
        <f t="shared" si="0"/>
        <v>0.1930000000000005</v>
      </c>
      <c r="K9" s="20">
        <f t="shared" si="1"/>
        <v>9.4921019800674286E-2</v>
      </c>
      <c r="L9" s="20">
        <f t="shared" si="2"/>
        <v>9.0100000000000006E-3</v>
      </c>
      <c r="M9" s="8">
        <v>0.99</v>
      </c>
      <c r="N9" s="20">
        <f t="shared" si="3"/>
        <v>0.63520899999999914</v>
      </c>
    </row>
    <row r="10" spans="1:14">
      <c r="A10" s="26" t="s">
        <v>82</v>
      </c>
      <c r="B10" s="26" t="s">
        <v>46</v>
      </c>
      <c r="C10" s="3" t="s">
        <v>169</v>
      </c>
      <c r="D10" s="3" t="s">
        <v>181</v>
      </c>
      <c r="E10" s="1" t="s">
        <v>91</v>
      </c>
      <c r="F10" s="20">
        <v>70.179000000000002</v>
      </c>
      <c r="G10" s="20">
        <v>0.24099999999999999</v>
      </c>
      <c r="H10" s="20">
        <v>69.418000000000006</v>
      </c>
      <c r="I10" s="20">
        <v>0.04</v>
      </c>
      <c r="J10" s="20">
        <f t="shared" si="0"/>
        <v>0.76099999999999568</v>
      </c>
      <c r="K10" s="20">
        <f t="shared" si="1"/>
        <v>0.24429695045169925</v>
      </c>
      <c r="L10" s="20">
        <f t="shared" si="2"/>
        <v>5.9680999999999998E-2</v>
      </c>
      <c r="M10" s="8">
        <v>1.53</v>
      </c>
      <c r="N10" s="20">
        <f t="shared" si="3"/>
        <v>0.59136100000000669</v>
      </c>
    </row>
    <row r="11" spans="1:14">
      <c r="A11" s="26" t="s">
        <v>82</v>
      </c>
      <c r="B11" s="26" t="s">
        <v>46</v>
      </c>
      <c r="C11" s="3" t="s">
        <v>170</v>
      </c>
      <c r="D11" s="3" t="s">
        <v>201</v>
      </c>
      <c r="E11" s="1" t="s">
        <v>205</v>
      </c>
      <c r="F11" s="20">
        <v>11.673999999999999</v>
      </c>
      <c r="G11" s="20">
        <v>0.111</v>
      </c>
      <c r="H11" s="20">
        <v>12.246</v>
      </c>
      <c r="I11" s="20">
        <v>0.17299999999999999</v>
      </c>
      <c r="J11" s="20">
        <f t="shared" si="0"/>
        <v>-0.57200000000000095</v>
      </c>
      <c r="K11" s="20">
        <f t="shared" si="1"/>
        <v>0.20554804791094464</v>
      </c>
      <c r="L11" s="20">
        <f t="shared" si="2"/>
        <v>4.2249999999999989E-2</v>
      </c>
      <c r="M11" s="8">
        <v>0.06</v>
      </c>
      <c r="N11" s="20">
        <f t="shared" si="3"/>
        <v>0.39942400000000128</v>
      </c>
    </row>
    <row r="12" spans="1:14">
      <c r="A12" s="26" t="s">
        <v>82</v>
      </c>
      <c r="B12" s="26" t="s">
        <v>46</v>
      </c>
      <c r="C12" s="3" t="s">
        <v>171</v>
      </c>
      <c r="D12" s="3" t="s">
        <v>86</v>
      </c>
      <c r="E12" s="1" t="s">
        <v>92</v>
      </c>
      <c r="F12" s="20">
        <v>-7.7270000000000003</v>
      </c>
      <c r="G12" s="20">
        <v>0.34300000000000003</v>
      </c>
      <c r="H12" s="20">
        <v>-8.2859999999999996</v>
      </c>
      <c r="I12" s="20">
        <v>9.9000000000000005E-2</v>
      </c>
      <c r="J12" s="20">
        <f t="shared" si="0"/>
        <v>0.55899999999999928</v>
      </c>
      <c r="K12" s="20">
        <f t="shared" si="1"/>
        <v>0.35700140055747681</v>
      </c>
      <c r="L12" s="20">
        <f t="shared" si="2"/>
        <v>0.12745000000000001</v>
      </c>
      <c r="M12" s="8">
        <v>0.47</v>
      </c>
      <c r="N12" s="20">
        <f t="shared" si="3"/>
        <v>7.9209999999998761E-3</v>
      </c>
    </row>
    <row r="13" spans="1:14">
      <c r="A13" s="26" t="s">
        <v>82</v>
      </c>
      <c r="B13" s="26" t="s">
        <v>46</v>
      </c>
      <c r="C13" s="3" t="s">
        <v>172</v>
      </c>
      <c r="D13" s="3" t="s">
        <v>182</v>
      </c>
      <c r="E13" s="1" t="s">
        <v>93</v>
      </c>
      <c r="F13" s="20">
        <v>11.613</v>
      </c>
      <c r="G13" s="20">
        <v>0.127</v>
      </c>
      <c r="H13" s="20">
        <v>10.423</v>
      </c>
      <c r="I13" s="20">
        <v>0.13500000000000001</v>
      </c>
      <c r="J13" s="20">
        <f t="shared" si="0"/>
        <v>1.1899999999999995</v>
      </c>
      <c r="K13" s="20">
        <f t="shared" si="1"/>
        <v>0.18534832073693033</v>
      </c>
      <c r="L13" s="20">
        <f t="shared" si="2"/>
        <v>3.4353999999999996E-2</v>
      </c>
      <c r="M13" s="8">
        <v>-0.43</v>
      </c>
      <c r="N13" s="20">
        <f t="shared" si="3"/>
        <v>2.6243999999999983</v>
      </c>
    </row>
    <row r="14" spans="1:14">
      <c r="A14" s="1" t="s">
        <v>206</v>
      </c>
      <c r="B14" s="26" t="s">
        <v>46</v>
      </c>
      <c r="C14" s="6" t="s">
        <v>173</v>
      </c>
      <c r="D14" s="3" t="s">
        <v>183</v>
      </c>
      <c r="E14" s="1" t="s">
        <v>94</v>
      </c>
      <c r="F14" s="20">
        <v>13.137</v>
      </c>
      <c r="G14" s="20">
        <v>0.16800000000000001</v>
      </c>
      <c r="H14" s="20">
        <v>12.03</v>
      </c>
      <c r="I14" s="20">
        <v>0.122</v>
      </c>
      <c r="J14" s="20">
        <f t="shared" si="0"/>
        <v>1.1070000000000011</v>
      </c>
      <c r="K14" s="20">
        <f t="shared" si="1"/>
        <v>0.20762466134830901</v>
      </c>
      <c r="L14" s="20">
        <f t="shared" si="2"/>
        <v>4.3108E-2</v>
      </c>
      <c r="M14" s="8">
        <v>-0.27</v>
      </c>
      <c r="N14" s="20">
        <f t="shared" si="3"/>
        <v>1.8961290000000031</v>
      </c>
    </row>
    <row r="15" spans="1:14">
      <c r="A15" s="1" t="s">
        <v>206</v>
      </c>
      <c r="B15" s="26" t="s">
        <v>46</v>
      </c>
      <c r="C15" s="6" t="s">
        <v>174</v>
      </c>
      <c r="D15" s="3" t="s">
        <v>184</v>
      </c>
      <c r="E15" s="1" t="s">
        <v>188</v>
      </c>
      <c r="F15" s="20">
        <v>10.42</v>
      </c>
      <c r="G15" s="20">
        <v>0.05</v>
      </c>
      <c r="H15" s="20">
        <v>11.746</v>
      </c>
      <c r="I15" s="20">
        <v>0.17100000000000001</v>
      </c>
      <c r="J15" s="20">
        <f t="shared" si="0"/>
        <v>-1.3260000000000005</v>
      </c>
      <c r="K15" s="20">
        <f t="shared" si="1"/>
        <v>0.17816004041310723</v>
      </c>
      <c r="L15" s="20">
        <f t="shared" si="2"/>
        <v>3.1741000000000005E-2</v>
      </c>
      <c r="M15" s="8">
        <v>-0.63</v>
      </c>
      <c r="N15" s="20">
        <f t="shared" si="3"/>
        <v>0.48441600000000068</v>
      </c>
    </row>
    <row r="16" spans="1:14">
      <c r="A16" s="1" t="s">
        <v>206</v>
      </c>
      <c r="B16" s="26" t="s">
        <v>46</v>
      </c>
      <c r="C16" s="6" t="s">
        <v>175</v>
      </c>
      <c r="D16" s="3" t="s">
        <v>185</v>
      </c>
      <c r="E16" s="1" t="s">
        <v>189</v>
      </c>
      <c r="F16" s="20">
        <v>14.385</v>
      </c>
      <c r="G16" s="20">
        <v>5.5E-2</v>
      </c>
      <c r="H16" s="20">
        <v>14.122999999999999</v>
      </c>
      <c r="I16" s="20">
        <v>0.159</v>
      </c>
      <c r="J16" s="20">
        <f t="shared" si="0"/>
        <v>0.26200000000000045</v>
      </c>
      <c r="K16" s="20">
        <f t="shared" si="1"/>
        <v>0.16824387061643584</v>
      </c>
      <c r="L16" s="20">
        <f t="shared" si="2"/>
        <v>2.8306000000000001E-2</v>
      </c>
      <c r="M16" s="8">
        <v>0.19</v>
      </c>
      <c r="N16" s="20">
        <f t="shared" si="3"/>
        <v>5.1840000000000653E-3</v>
      </c>
    </row>
    <row r="17" spans="1:14">
      <c r="A17" s="15" t="s">
        <v>82</v>
      </c>
      <c r="B17" s="1" t="s">
        <v>70</v>
      </c>
      <c r="C17" s="3" t="s">
        <v>14</v>
      </c>
      <c r="D17" s="3" t="s">
        <v>190</v>
      </c>
      <c r="E17" s="1" t="s">
        <v>195</v>
      </c>
      <c r="F17" s="20">
        <v>-5.1050000000000004</v>
      </c>
      <c r="G17" s="20">
        <v>8.5999999999999993E-2</v>
      </c>
      <c r="H17" s="20">
        <v>-5.056</v>
      </c>
      <c r="I17" s="20">
        <v>5.0999999999999997E-2</v>
      </c>
      <c r="J17" s="20">
        <f>(F17-H17)</f>
        <v>-4.9000000000000377E-2</v>
      </c>
      <c r="K17" s="20">
        <f>SQRT((G17)^2 + (I17)^2)</f>
        <v>9.9984998874831213E-2</v>
      </c>
      <c r="L17" s="20">
        <f>K17^2</f>
        <v>9.9969999999999989E-3</v>
      </c>
      <c r="M17" s="8">
        <v>-0.51</v>
      </c>
      <c r="N17" s="20">
        <f>(J17-M17)^2</f>
        <v>0.21252099999999965</v>
      </c>
    </row>
    <row r="18" spans="1:14">
      <c r="A18" s="1" t="s">
        <v>101</v>
      </c>
      <c r="B18" s="1" t="s">
        <v>70</v>
      </c>
      <c r="C18" s="6" t="s">
        <v>163</v>
      </c>
      <c r="D18" s="3" t="s">
        <v>191</v>
      </c>
      <c r="E18" s="1" t="s">
        <v>196</v>
      </c>
      <c r="F18" s="20">
        <v>-8.8810000000000002</v>
      </c>
      <c r="G18" s="20">
        <v>4.2999999999999997E-2</v>
      </c>
      <c r="H18" s="20">
        <v>-8.9640000000000004</v>
      </c>
      <c r="I18" s="20">
        <v>4.2999999999999997E-2</v>
      </c>
      <c r="J18" s="20">
        <f>(F18-H18)</f>
        <v>8.3000000000000185E-2</v>
      </c>
      <c r="K18" s="20">
        <f>SQRT((G18)^2 + (I18)^2)</f>
        <v>6.081118318204308E-2</v>
      </c>
      <c r="L18" s="20">
        <f>K18^2</f>
        <v>3.697999999999999E-3</v>
      </c>
      <c r="M18" s="8">
        <v>1.1299999999999999</v>
      </c>
      <c r="N18" s="20">
        <f>(J18-M18)^2</f>
        <v>1.0962089999999993</v>
      </c>
    </row>
    <row r="19" spans="1:14">
      <c r="A19" s="1" t="s">
        <v>101</v>
      </c>
      <c r="B19" s="1" t="s">
        <v>70</v>
      </c>
      <c r="C19" s="6" t="s">
        <v>164</v>
      </c>
      <c r="D19" s="3" t="s">
        <v>192</v>
      </c>
      <c r="E19" s="1" t="s">
        <v>77</v>
      </c>
      <c r="F19" s="20">
        <v>12.08</v>
      </c>
      <c r="G19" s="20">
        <v>0.26</v>
      </c>
      <c r="H19" s="20">
        <v>11.585000000000001</v>
      </c>
      <c r="I19" s="20">
        <v>0.122</v>
      </c>
      <c r="J19" s="20">
        <f>(F19-H19)</f>
        <v>0.49499999999999922</v>
      </c>
      <c r="K19" s="20">
        <f>SQRT((G19)^2 + (I19)^2)</f>
        <v>0.28720027855139696</v>
      </c>
      <c r="L19" s="20">
        <f>K19^2</f>
        <v>8.2484000000000002E-2</v>
      </c>
      <c r="M19" s="8">
        <v>0.47</v>
      </c>
      <c r="N19" s="20">
        <f>(J19-M19)^2</f>
        <v>6.2499999999996228E-4</v>
      </c>
    </row>
    <row r="20" spans="1:14">
      <c r="A20" s="1" t="s">
        <v>101</v>
      </c>
      <c r="B20" s="1" t="s">
        <v>70</v>
      </c>
      <c r="C20" s="6" t="s">
        <v>165</v>
      </c>
      <c r="D20" s="3" t="s">
        <v>193</v>
      </c>
      <c r="E20" s="1" t="s">
        <v>197</v>
      </c>
      <c r="F20" s="20">
        <v>7.5359999999999996</v>
      </c>
      <c r="G20" s="20">
        <v>0.108</v>
      </c>
      <c r="H20" s="20">
        <v>6.2859999999999996</v>
      </c>
      <c r="I20" s="20">
        <v>9.0999999999999998E-2</v>
      </c>
      <c r="J20" s="20">
        <f>(F20-H20)</f>
        <v>1.25</v>
      </c>
      <c r="K20" s="20">
        <f>SQRT((G20)^2 + (I20)^2)</f>
        <v>0.1412267680009707</v>
      </c>
      <c r="L20" s="20">
        <f>K20^2</f>
        <v>1.9945000000000001E-2</v>
      </c>
      <c r="M20" s="8">
        <v>0.97</v>
      </c>
      <c r="N20" s="20">
        <f>(J20-M20)^2</f>
        <v>7.8400000000000011E-2</v>
      </c>
    </row>
    <row r="21" spans="1:14">
      <c r="A21" s="1" t="s">
        <v>101</v>
      </c>
      <c r="B21" s="1" t="s">
        <v>70</v>
      </c>
      <c r="C21" s="6" t="s">
        <v>12</v>
      </c>
      <c r="D21" s="3" t="s">
        <v>194</v>
      </c>
      <c r="E21" s="1" t="s">
        <v>198</v>
      </c>
      <c r="F21" s="20">
        <v>-24.760999999999999</v>
      </c>
      <c r="G21" s="20">
        <v>0.14499999999999999</v>
      </c>
      <c r="H21" s="20">
        <v>-24.088000000000001</v>
      </c>
      <c r="I21" s="20">
        <v>9.1999999999999998E-2</v>
      </c>
      <c r="J21" s="20">
        <f>(F21-H21)</f>
        <v>-0.67299999999999827</v>
      </c>
      <c r="K21" s="20">
        <f>SQRT((G21)^2 + (I21)^2)</f>
        <v>0.17172361514946044</v>
      </c>
      <c r="L21" s="20">
        <f>K21^2</f>
        <v>2.9488999999999998E-2</v>
      </c>
      <c r="M21" s="8">
        <v>0.02</v>
      </c>
      <c r="N21" s="20">
        <f>(J21-M21)^2</f>
        <v>0.48024899999999759</v>
      </c>
    </row>
    <row r="22" spans="1:14">
      <c r="F22" s="11"/>
      <c r="G22" s="11"/>
      <c r="H22" s="11"/>
      <c r="I22" s="11"/>
      <c r="J22" s="11"/>
      <c r="K22" s="11"/>
      <c r="L22" s="18" t="s">
        <v>67</v>
      </c>
      <c r="M22" s="18"/>
      <c r="N22" s="18" t="s">
        <v>67</v>
      </c>
    </row>
    <row r="23" spans="1:14">
      <c r="F23" s="11"/>
      <c r="G23" s="11"/>
      <c r="H23" s="11"/>
      <c r="I23" s="11"/>
      <c r="J23" s="11"/>
      <c r="K23" s="11"/>
      <c r="L23" s="20">
        <f>SUM(L3:L21)</f>
        <v>1.5213080000000001</v>
      </c>
      <c r="M23" s="20"/>
      <c r="N23" s="20">
        <f>SUM(N3:N21)</f>
        <v>17.435211999999989</v>
      </c>
    </row>
    <row r="24" spans="1:14">
      <c r="F24" s="11"/>
      <c r="G24" s="11"/>
      <c r="H24" s="11"/>
      <c r="I24" s="11"/>
      <c r="J24" s="11"/>
      <c r="K24" s="11"/>
      <c r="L24" s="20"/>
      <c r="M24" s="20"/>
      <c r="N24" s="20"/>
    </row>
    <row r="25" spans="1:14">
      <c r="F25" s="11"/>
      <c r="G25" s="11"/>
      <c r="H25" s="11"/>
      <c r="I25" s="11"/>
      <c r="J25" s="11"/>
      <c r="K25" s="11"/>
      <c r="L25" s="20"/>
      <c r="M25" s="19" t="s">
        <v>68</v>
      </c>
      <c r="N25" s="20">
        <f>SQRT(N23/19)</f>
        <v>0.95793670816088095</v>
      </c>
    </row>
    <row r="26" spans="1:14">
      <c r="F26" s="11"/>
      <c r="G26" s="11"/>
      <c r="H26" s="11"/>
      <c r="I26" s="11"/>
      <c r="J26" s="11"/>
      <c r="K26" s="11"/>
      <c r="L26" s="20"/>
      <c r="M26" s="19" t="s">
        <v>40</v>
      </c>
      <c r="N26" s="20">
        <f>SQRT(L23/19)</f>
        <v>0.28296438310370997</v>
      </c>
    </row>
    <row r="28" spans="1:14">
      <c r="A28" s="40" t="s">
        <v>217</v>
      </c>
    </row>
    <row r="29" spans="1:14">
      <c r="A29" s="12" t="s">
        <v>30</v>
      </c>
      <c r="B29" s="12" t="s">
        <v>31</v>
      </c>
      <c r="C29" s="13" t="s">
        <v>32</v>
      </c>
      <c r="D29" s="12" t="s">
        <v>33</v>
      </c>
      <c r="E29" s="12" t="s">
        <v>34</v>
      </c>
      <c r="F29" s="12" t="s">
        <v>35</v>
      </c>
      <c r="G29" s="12" t="s">
        <v>36</v>
      </c>
      <c r="H29" s="12" t="s">
        <v>37</v>
      </c>
      <c r="I29" s="12" t="s">
        <v>38</v>
      </c>
      <c r="J29" s="12" t="s">
        <v>39</v>
      </c>
      <c r="K29" s="14" t="s">
        <v>40</v>
      </c>
      <c r="L29" s="12" t="s">
        <v>41</v>
      </c>
      <c r="M29" s="12" t="s">
        <v>42</v>
      </c>
      <c r="N29" s="12" t="s">
        <v>43</v>
      </c>
    </row>
    <row r="30" spans="1:14">
      <c r="A30" s="1" t="s">
        <v>101</v>
      </c>
      <c r="B30" s="26" t="s">
        <v>46</v>
      </c>
      <c r="C30" s="6" t="s">
        <v>9</v>
      </c>
      <c r="D30" s="3" t="s">
        <v>200</v>
      </c>
      <c r="E30" s="1" t="s">
        <v>203</v>
      </c>
      <c r="F30" s="20">
        <v>-38.622</v>
      </c>
      <c r="G30" s="20">
        <v>0.70099999999999996</v>
      </c>
      <c r="H30" s="20">
        <v>-40.954999999999998</v>
      </c>
      <c r="I30" s="20">
        <v>0.219</v>
      </c>
      <c r="J30" s="20">
        <f t="shared" ref="J30:J34" si="4">F30-H30</f>
        <v>2.3329999999999984</v>
      </c>
      <c r="K30" s="20">
        <f t="shared" ref="K30:K34" si="5">SQRT((G30)^2 + (I30)^2)</f>
        <v>0.73441269052216129</v>
      </c>
      <c r="L30" s="20">
        <f t="shared" ref="L30:L34" si="6">K30^2</f>
        <v>0.5393619999999999</v>
      </c>
      <c r="M30" s="8">
        <v>1.07</v>
      </c>
      <c r="N30" s="20">
        <f t="shared" ref="N30:N34" si="7">(J30-M30)^2</f>
        <v>1.5951689999999958</v>
      </c>
    </row>
    <row r="31" spans="1:14">
      <c r="A31" s="1" t="s">
        <v>101</v>
      </c>
      <c r="B31" s="26" t="s">
        <v>46</v>
      </c>
      <c r="C31" s="6" t="s">
        <v>11</v>
      </c>
      <c r="D31" s="3" t="s">
        <v>176</v>
      </c>
      <c r="E31" s="1" t="s">
        <v>186</v>
      </c>
      <c r="F31" s="20">
        <v>-41.331000000000003</v>
      </c>
      <c r="G31" s="20">
        <v>0.25800000000000001</v>
      </c>
      <c r="H31" s="20">
        <v>-43.83</v>
      </c>
      <c r="I31" s="20">
        <v>0.17</v>
      </c>
      <c r="J31" s="20">
        <f t="shared" si="4"/>
        <v>2.4989999999999952</v>
      </c>
      <c r="K31" s="20">
        <f t="shared" si="5"/>
        <v>0.30897249068485044</v>
      </c>
      <c r="L31" s="20">
        <f t="shared" si="6"/>
        <v>9.5463999999999993E-2</v>
      </c>
      <c r="M31" s="8">
        <v>1.53</v>
      </c>
      <c r="N31" s="20">
        <f t="shared" si="7"/>
        <v>0.93896099999999072</v>
      </c>
    </row>
    <row r="32" spans="1:14">
      <c r="A32" s="1" t="s">
        <v>206</v>
      </c>
      <c r="B32" s="26" t="s">
        <v>46</v>
      </c>
      <c r="C32" s="6" t="s">
        <v>173</v>
      </c>
      <c r="D32" s="3" t="s">
        <v>183</v>
      </c>
      <c r="E32" s="1" t="s">
        <v>94</v>
      </c>
      <c r="F32" s="20">
        <v>13.137</v>
      </c>
      <c r="G32" s="20">
        <v>0.16800000000000001</v>
      </c>
      <c r="H32" s="20">
        <v>12.03</v>
      </c>
      <c r="I32" s="20">
        <v>0.122</v>
      </c>
      <c r="J32" s="20">
        <f t="shared" si="4"/>
        <v>1.1070000000000011</v>
      </c>
      <c r="K32" s="20">
        <f t="shared" si="5"/>
        <v>0.20762466134830901</v>
      </c>
      <c r="L32" s="20">
        <f t="shared" si="6"/>
        <v>4.3108E-2</v>
      </c>
      <c r="M32" s="8">
        <v>-0.27</v>
      </c>
      <c r="N32" s="20">
        <f t="shared" si="7"/>
        <v>1.8961290000000031</v>
      </c>
    </row>
    <row r="33" spans="1:16">
      <c r="A33" s="1" t="s">
        <v>206</v>
      </c>
      <c r="B33" s="26" t="s">
        <v>46</v>
      </c>
      <c r="C33" s="6" t="s">
        <v>174</v>
      </c>
      <c r="D33" s="3" t="s">
        <v>184</v>
      </c>
      <c r="E33" s="1" t="s">
        <v>188</v>
      </c>
      <c r="F33" s="20">
        <v>10.42</v>
      </c>
      <c r="G33" s="20">
        <v>0.05</v>
      </c>
      <c r="H33" s="20">
        <v>11.746</v>
      </c>
      <c r="I33" s="20">
        <v>0.17100000000000001</v>
      </c>
      <c r="J33" s="20">
        <f t="shared" si="4"/>
        <v>-1.3260000000000005</v>
      </c>
      <c r="K33" s="20">
        <f t="shared" si="5"/>
        <v>0.17816004041310723</v>
      </c>
      <c r="L33" s="20">
        <f t="shared" si="6"/>
        <v>3.1741000000000005E-2</v>
      </c>
      <c r="M33" s="8">
        <v>-0.63</v>
      </c>
      <c r="N33" s="20">
        <f t="shared" si="7"/>
        <v>0.48441600000000068</v>
      </c>
    </row>
    <row r="34" spans="1:16">
      <c r="A34" s="1" t="s">
        <v>206</v>
      </c>
      <c r="B34" s="26" t="s">
        <v>46</v>
      </c>
      <c r="C34" s="6" t="s">
        <v>175</v>
      </c>
      <c r="D34" s="3" t="s">
        <v>185</v>
      </c>
      <c r="E34" s="1" t="s">
        <v>189</v>
      </c>
      <c r="F34" s="20">
        <v>14.385</v>
      </c>
      <c r="G34" s="20">
        <v>5.5E-2</v>
      </c>
      <c r="H34" s="20">
        <v>14.122999999999999</v>
      </c>
      <c r="I34" s="20">
        <v>0.159</v>
      </c>
      <c r="J34" s="20">
        <f t="shared" si="4"/>
        <v>0.26200000000000045</v>
      </c>
      <c r="K34" s="20">
        <f t="shared" si="5"/>
        <v>0.16824387061643584</v>
      </c>
      <c r="L34" s="20">
        <f t="shared" si="6"/>
        <v>2.8306000000000001E-2</v>
      </c>
      <c r="M34" s="8">
        <v>0.19</v>
      </c>
      <c r="N34" s="20">
        <f t="shared" si="7"/>
        <v>5.1840000000000653E-3</v>
      </c>
    </row>
    <row r="35" spans="1:16">
      <c r="A35" s="1" t="s">
        <v>101</v>
      </c>
      <c r="B35" s="1" t="s">
        <v>70</v>
      </c>
      <c r="C35" s="6" t="s">
        <v>163</v>
      </c>
      <c r="D35" s="3" t="s">
        <v>191</v>
      </c>
      <c r="E35" s="1" t="s">
        <v>196</v>
      </c>
      <c r="F35" s="20">
        <v>-8.8810000000000002</v>
      </c>
      <c r="G35" s="20">
        <v>4.2999999999999997E-2</v>
      </c>
      <c r="H35" s="20">
        <v>-8.9640000000000004</v>
      </c>
      <c r="I35" s="20">
        <v>4.2999999999999997E-2</v>
      </c>
      <c r="J35" s="20">
        <f>(F35-H35)</f>
        <v>8.3000000000000185E-2</v>
      </c>
      <c r="K35" s="20">
        <f>SQRT((G35)^2 + (I35)^2)</f>
        <v>6.081118318204308E-2</v>
      </c>
      <c r="L35" s="20">
        <f>K35^2</f>
        <v>3.697999999999999E-3</v>
      </c>
      <c r="M35" s="8">
        <v>1.1299999999999999</v>
      </c>
      <c r="N35" s="20">
        <f>(J35-M35)^2</f>
        <v>1.0962089999999993</v>
      </c>
    </row>
    <row r="36" spans="1:16">
      <c r="A36" s="1" t="s">
        <v>101</v>
      </c>
      <c r="B36" s="1" t="s">
        <v>70</v>
      </c>
      <c r="C36" s="6" t="s">
        <v>164</v>
      </c>
      <c r="D36" s="3" t="s">
        <v>192</v>
      </c>
      <c r="E36" s="1" t="s">
        <v>77</v>
      </c>
      <c r="F36" s="20">
        <v>12.08</v>
      </c>
      <c r="G36" s="20">
        <v>0.26</v>
      </c>
      <c r="H36" s="20">
        <v>11.585000000000001</v>
      </c>
      <c r="I36" s="20">
        <v>0.122</v>
      </c>
      <c r="J36" s="20">
        <f>(F36-H36)</f>
        <v>0.49499999999999922</v>
      </c>
      <c r="K36" s="20">
        <f>SQRT((G36)^2 + (I36)^2)</f>
        <v>0.28720027855139696</v>
      </c>
      <c r="L36" s="20">
        <f>K36^2</f>
        <v>8.2484000000000002E-2</v>
      </c>
      <c r="M36" s="8">
        <v>0.47</v>
      </c>
      <c r="N36" s="20">
        <f>(J36-M36)^2</f>
        <v>6.2499999999996228E-4</v>
      </c>
    </row>
    <row r="37" spans="1:16">
      <c r="A37" s="1" t="s">
        <v>101</v>
      </c>
      <c r="B37" s="1" t="s">
        <v>70</v>
      </c>
      <c r="C37" s="6" t="s">
        <v>165</v>
      </c>
      <c r="D37" s="3" t="s">
        <v>193</v>
      </c>
      <c r="E37" s="1" t="s">
        <v>197</v>
      </c>
      <c r="F37" s="20">
        <v>7.5359999999999996</v>
      </c>
      <c r="G37" s="20">
        <v>0.108</v>
      </c>
      <c r="H37" s="20">
        <v>6.2859999999999996</v>
      </c>
      <c r="I37" s="20">
        <v>9.0999999999999998E-2</v>
      </c>
      <c r="J37" s="20">
        <f>(F37-H37)</f>
        <v>1.25</v>
      </c>
      <c r="K37" s="20">
        <f>SQRT((G37)^2 + (I37)^2)</f>
        <v>0.1412267680009707</v>
      </c>
      <c r="L37" s="20">
        <f>K37^2</f>
        <v>1.9945000000000001E-2</v>
      </c>
      <c r="M37" s="8">
        <v>0.97</v>
      </c>
      <c r="N37" s="20">
        <f>(J37-M37)^2</f>
        <v>7.8400000000000011E-2</v>
      </c>
    </row>
    <row r="38" spans="1:16">
      <c r="A38" s="1" t="s">
        <v>101</v>
      </c>
      <c r="B38" s="1" t="s">
        <v>70</v>
      </c>
      <c r="C38" s="6" t="s">
        <v>12</v>
      </c>
      <c r="D38" s="3" t="s">
        <v>194</v>
      </c>
      <c r="E38" s="1" t="s">
        <v>198</v>
      </c>
      <c r="F38" s="20">
        <v>-24.760999999999999</v>
      </c>
      <c r="G38" s="20">
        <v>0.14499999999999999</v>
      </c>
      <c r="H38" s="20">
        <v>-24.088000000000001</v>
      </c>
      <c r="I38" s="20">
        <v>9.1999999999999998E-2</v>
      </c>
      <c r="J38" s="20">
        <f>(F38-H38)</f>
        <v>-0.67299999999999827</v>
      </c>
      <c r="K38" s="20">
        <f>SQRT((G38)^2 + (I38)^2)</f>
        <v>0.17172361514946044</v>
      </c>
      <c r="L38" s="20">
        <f>K38^2</f>
        <v>2.9488999999999998E-2</v>
      </c>
      <c r="M38" s="8">
        <v>0.02</v>
      </c>
      <c r="N38" s="20">
        <f>(J38-M38)^2</f>
        <v>0.48024899999999759</v>
      </c>
    </row>
    <row r="41" spans="1:16">
      <c r="A41" s="40" t="s">
        <v>218</v>
      </c>
    </row>
    <row r="42" spans="1:16">
      <c r="A42" s="12" t="s">
        <v>30</v>
      </c>
      <c r="B42" s="12" t="s">
        <v>31</v>
      </c>
      <c r="C42" s="13" t="s">
        <v>32</v>
      </c>
      <c r="D42" s="12" t="s">
        <v>33</v>
      </c>
      <c r="E42" s="12" t="s">
        <v>34</v>
      </c>
      <c r="F42" s="12" t="s">
        <v>35</v>
      </c>
      <c r="G42" s="12" t="s">
        <v>36</v>
      </c>
      <c r="H42" s="12" t="s">
        <v>37</v>
      </c>
      <c r="I42" s="12" t="s">
        <v>38</v>
      </c>
      <c r="J42" s="12" t="s">
        <v>39</v>
      </c>
      <c r="K42" s="14" t="s">
        <v>40</v>
      </c>
      <c r="L42" s="12" t="s">
        <v>41</v>
      </c>
      <c r="M42" s="12" t="s">
        <v>42</v>
      </c>
      <c r="N42" s="12" t="s">
        <v>43</v>
      </c>
      <c r="O42" s="12" t="s">
        <v>44</v>
      </c>
    </row>
    <row r="43" spans="1:16">
      <c r="A43" s="1" t="s">
        <v>101</v>
      </c>
      <c r="B43" s="26" t="s">
        <v>46</v>
      </c>
      <c r="C43" s="6" t="s">
        <v>9</v>
      </c>
      <c r="D43" s="3" t="s">
        <v>200</v>
      </c>
      <c r="E43" s="1" t="s">
        <v>203</v>
      </c>
      <c r="F43" s="20">
        <v>-38.72</v>
      </c>
      <c r="G43" s="20">
        <v>0.44657474000000003</v>
      </c>
      <c r="H43" s="20">
        <v>-40.954999999999998</v>
      </c>
      <c r="I43" s="20">
        <v>0.219</v>
      </c>
      <c r="J43" s="20">
        <f>(F43-H43)</f>
        <v>2.2349999999999994</v>
      </c>
      <c r="K43" s="20">
        <f>SQRT((G43)^2 + (I43)^2)</f>
        <v>0.49738315050478704</v>
      </c>
      <c r="L43" s="20">
        <f>K43^2</f>
        <v>0.24738999840606765</v>
      </c>
      <c r="M43" s="8">
        <v>1.07</v>
      </c>
      <c r="N43" s="20">
        <f>(J43-M43)^2</f>
        <v>1.3572249999999986</v>
      </c>
      <c r="O43" s="20" t="s">
        <v>223</v>
      </c>
      <c r="P43" s="20"/>
    </row>
    <row r="44" spans="1:16">
      <c r="A44" s="1" t="s">
        <v>101</v>
      </c>
      <c r="B44" s="26" t="s">
        <v>46</v>
      </c>
      <c r="C44" s="6" t="s">
        <v>11</v>
      </c>
      <c r="D44" s="3" t="s">
        <v>176</v>
      </c>
      <c r="E44" s="1" t="s">
        <v>186</v>
      </c>
      <c r="F44" s="20">
        <v>-41.609000000000002</v>
      </c>
      <c r="G44" s="20">
        <v>0.37</v>
      </c>
      <c r="H44" s="20">
        <v>-43.83</v>
      </c>
      <c r="I44" s="20">
        <v>0.17</v>
      </c>
      <c r="J44" s="20">
        <f t="shared" ref="J44:J51" si="8">(F44-H44)</f>
        <v>2.2209999999999965</v>
      </c>
      <c r="K44" s="20">
        <f t="shared" ref="K44:K51" si="9">SQRT((G44)^2 + (I44)^2)</f>
        <v>0.40718546143004664</v>
      </c>
      <c r="L44" s="20">
        <f t="shared" ref="L44:L51" si="10">K44^2</f>
        <v>0.1658</v>
      </c>
      <c r="M44" s="8">
        <v>1.53</v>
      </c>
      <c r="N44" s="20">
        <f t="shared" ref="N44:N51" si="11">(J44-M44)^2</f>
        <v>0.47748099999999516</v>
      </c>
      <c r="O44" s="20" t="s">
        <v>223</v>
      </c>
      <c r="P44" s="20"/>
    </row>
    <row r="45" spans="1:16">
      <c r="A45" s="1" t="s">
        <v>206</v>
      </c>
      <c r="B45" s="26" t="s">
        <v>46</v>
      </c>
      <c r="C45" s="6" t="s">
        <v>173</v>
      </c>
      <c r="D45" s="3" t="s">
        <v>183</v>
      </c>
      <c r="E45" s="1" t="s">
        <v>94</v>
      </c>
      <c r="F45" s="20">
        <v>13.455</v>
      </c>
      <c r="G45" s="20">
        <v>0.254</v>
      </c>
      <c r="H45" s="20">
        <v>12.03</v>
      </c>
      <c r="I45" s="20">
        <v>0.122</v>
      </c>
      <c r="J45" s="20">
        <f t="shared" si="8"/>
        <v>1.4250000000000007</v>
      </c>
      <c r="K45" s="20">
        <f t="shared" si="9"/>
        <v>0.28178005607210743</v>
      </c>
      <c r="L45" s="20">
        <f t="shared" si="10"/>
        <v>7.9400000000000012E-2</v>
      </c>
      <c r="M45" s="8">
        <v>-0.27</v>
      </c>
      <c r="N45" s="20">
        <f t="shared" si="11"/>
        <v>2.8730250000000024</v>
      </c>
      <c r="O45" s="20" t="s">
        <v>223</v>
      </c>
      <c r="P45" s="20"/>
    </row>
    <row r="46" spans="1:16">
      <c r="A46" s="1" t="s">
        <v>206</v>
      </c>
      <c r="B46" s="26" t="s">
        <v>46</v>
      </c>
      <c r="C46" s="6" t="s">
        <v>174</v>
      </c>
      <c r="D46" s="3" t="s">
        <v>184</v>
      </c>
      <c r="E46" s="1" t="s">
        <v>188</v>
      </c>
      <c r="F46" s="20">
        <v>11.936</v>
      </c>
      <c r="G46" s="20">
        <v>0.185</v>
      </c>
      <c r="H46" s="20">
        <v>11.746</v>
      </c>
      <c r="I46" s="20">
        <v>0.17100000000000001</v>
      </c>
      <c r="J46" s="20">
        <f t="shared" si="8"/>
        <v>0.1899999999999995</v>
      </c>
      <c r="K46" s="20">
        <f t="shared" si="9"/>
        <v>0.25192459189209776</v>
      </c>
      <c r="L46" s="20">
        <f t="shared" si="10"/>
        <v>6.3466000000000009E-2</v>
      </c>
      <c r="M46" s="8">
        <v>-0.63</v>
      </c>
      <c r="N46" s="20">
        <f t="shared" si="11"/>
        <v>0.67239999999999922</v>
      </c>
      <c r="O46" s="20" t="s">
        <v>223</v>
      </c>
      <c r="P46" s="20"/>
    </row>
    <row r="47" spans="1:16">
      <c r="A47" s="1" t="s">
        <v>206</v>
      </c>
      <c r="B47" s="26" t="s">
        <v>46</v>
      </c>
      <c r="C47" s="6" t="s">
        <v>175</v>
      </c>
      <c r="D47" s="3" t="s">
        <v>185</v>
      </c>
      <c r="E47" s="1" t="s">
        <v>189</v>
      </c>
      <c r="F47" s="20">
        <v>14.977</v>
      </c>
      <c r="G47" s="20">
        <v>0.12258874</v>
      </c>
      <c r="H47" s="20">
        <v>14.122999999999999</v>
      </c>
      <c r="I47" s="20">
        <v>0.159</v>
      </c>
      <c r="J47" s="20">
        <f t="shared" si="8"/>
        <v>0.85400000000000098</v>
      </c>
      <c r="K47" s="20">
        <f t="shared" si="9"/>
        <v>0.20077101178902196</v>
      </c>
      <c r="L47" s="20">
        <f t="shared" si="10"/>
        <v>4.0308999174787592E-2</v>
      </c>
      <c r="M47" s="8">
        <v>0.19</v>
      </c>
      <c r="N47" s="20">
        <f t="shared" si="11"/>
        <v>0.4408960000000014</v>
      </c>
      <c r="O47" s="20" t="s">
        <v>223</v>
      </c>
      <c r="P47" s="20"/>
    </row>
    <row r="48" spans="1:16">
      <c r="A48" s="1" t="s">
        <v>101</v>
      </c>
      <c r="B48" s="1" t="s">
        <v>70</v>
      </c>
      <c r="C48" s="6" t="s">
        <v>163</v>
      </c>
      <c r="D48" s="3" t="s">
        <v>191</v>
      </c>
      <c r="E48" s="1" t="s">
        <v>196</v>
      </c>
      <c r="F48" s="20">
        <v>-8.9540000000000006</v>
      </c>
      <c r="G48" s="20">
        <v>0.08</v>
      </c>
      <c r="H48" s="20">
        <v>-8.9640000000000004</v>
      </c>
      <c r="I48" s="20">
        <v>4.2999999999999997E-2</v>
      </c>
      <c r="J48" s="20">
        <f t="shared" si="8"/>
        <v>9.9999999999997868E-3</v>
      </c>
      <c r="K48" s="20">
        <f t="shared" si="9"/>
        <v>9.0824005637276314E-2</v>
      </c>
      <c r="L48" s="20">
        <f t="shared" si="10"/>
        <v>8.2489999999999994E-3</v>
      </c>
      <c r="M48" s="8">
        <v>1.1299999999999999</v>
      </c>
      <c r="N48" s="20">
        <f t="shared" si="11"/>
        <v>1.2544000000000002</v>
      </c>
      <c r="O48" s="20" t="s">
        <v>223</v>
      </c>
      <c r="P48" s="20"/>
    </row>
    <row r="49" spans="1:16">
      <c r="A49" s="1" t="s">
        <v>101</v>
      </c>
      <c r="B49" s="1" t="s">
        <v>70</v>
      </c>
      <c r="C49" s="6" t="s">
        <v>164</v>
      </c>
      <c r="D49" s="3" t="s">
        <v>192</v>
      </c>
      <c r="E49" s="1" t="s">
        <v>77</v>
      </c>
      <c r="F49" s="20">
        <v>12.417</v>
      </c>
      <c r="G49" s="20">
        <v>0.14799999999999999</v>
      </c>
      <c r="H49" s="20">
        <v>11.585000000000001</v>
      </c>
      <c r="I49" s="20">
        <v>0.122</v>
      </c>
      <c r="J49" s="20">
        <f t="shared" si="8"/>
        <v>0.83199999999999896</v>
      </c>
      <c r="K49" s="20">
        <f t="shared" si="9"/>
        <v>0.19180198122021574</v>
      </c>
      <c r="L49" s="20">
        <f t="shared" si="10"/>
        <v>3.6787999999999994E-2</v>
      </c>
      <c r="M49" s="8">
        <v>0.47</v>
      </c>
      <c r="N49" s="20">
        <f t="shared" si="11"/>
        <v>0.13104399999999927</v>
      </c>
      <c r="O49" s="20" t="s">
        <v>223</v>
      </c>
      <c r="P49" s="20"/>
    </row>
    <row r="50" spans="1:16">
      <c r="A50" s="1" t="s">
        <v>101</v>
      </c>
      <c r="B50" s="1" t="s">
        <v>70</v>
      </c>
      <c r="C50" s="6" t="s">
        <v>165</v>
      </c>
      <c r="D50" s="3" t="s">
        <v>193</v>
      </c>
      <c r="E50" s="1" t="s">
        <v>197</v>
      </c>
      <c r="F50" s="20">
        <v>6.3879999999999999</v>
      </c>
      <c r="G50" s="20">
        <v>0.18</v>
      </c>
      <c r="H50" s="20">
        <v>6.2859999999999996</v>
      </c>
      <c r="I50" s="20">
        <v>9.0999999999999998E-2</v>
      </c>
      <c r="J50" s="20">
        <f t="shared" si="8"/>
        <v>0.10200000000000031</v>
      </c>
      <c r="K50" s="20">
        <f t="shared" si="9"/>
        <v>0.20169531476958011</v>
      </c>
      <c r="L50" s="20">
        <f t="shared" si="10"/>
        <v>4.0681000000000002E-2</v>
      </c>
      <c r="M50" s="8">
        <v>0.97</v>
      </c>
      <c r="N50" s="20">
        <f t="shared" si="11"/>
        <v>0.75342399999999943</v>
      </c>
      <c r="O50" s="20" t="s">
        <v>223</v>
      </c>
      <c r="P50" s="20"/>
    </row>
    <row r="51" spans="1:16">
      <c r="A51" s="1" t="s">
        <v>101</v>
      </c>
      <c r="B51" s="1" t="s">
        <v>70</v>
      </c>
      <c r="C51" s="6" t="s">
        <v>12</v>
      </c>
      <c r="D51" s="3" t="s">
        <v>194</v>
      </c>
      <c r="E51" s="1" t="s">
        <v>198</v>
      </c>
      <c r="F51" s="20">
        <v>-24.625</v>
      </c>
      <c r="G51" s="20">
        <v>0.25446611000000002</v>
      </c>
      <c r="H51" s="20">
        <v>-24.088000000000001</v>
      </c>
      <c r="I51" s="20">
        <v>9.1999999999999998E-2</v>
      </c>
      <c r="J51" s="20">
        <f t="shared" si="8"/>
        <v>-0.53699999999999903</v>
      </c>
      <c r="K51" s="20">
        <f t="shared" si="9"/>
        <v>0.27058640235335574</v>
      </c>
      <c r="L51" s="20">
        <f t="shared" si="10"/>
        <v>7.321700113853212E-2</v>
      </c>
      <c r="M51" s="8">
        <v>0.02</v>
      </c>
      <c r="N51" s="20">
        <f t="shared" si="11"/>
        <v>0.31024899999999894</v>
      </c>
      <c r="O51" s="20"/>
      <c r="P51" s="20"/>
    </row>
    <row r="52" spans="1:16">
      <c r="F52" s="20"/>
      <c r="G52" s="20"/>
      <c r="H52" s="20"/>
      <c r="I52" s="20"/>
      <c r="J52" s="20"/>
      <c r="K52" s="20"/>
      <c r="L52" s="20"/>
      <c r="M52" s="20"/>
      <c r="N52" s="20"/>
      <c r="O52" s="20"/>
      <c r="P52" s="20"/>
    </row>
    <row r="53" spans="1:16">
      <c r="F53" s="20"/>
      <c r="G53" s="20"/>
      <c r="H53" s="20"/>
      <c r="I53" s="20"/>
      <c r="J53" s="20"/>
      <c r="K53" s="20"/>
      <c r="L53" s="20"/>
      <c r="M53" s="20"/>
      <c r="N53" s="20"/>
      <c r="O53" s="20"/>
      <c r="P53" s="20"/>
    </row>
    <row r="54" spans="1:16" ht="17">
      <c r="A54" s="10" t="s">
        <v>225</v>
      </c>
      <c r="B54" s="11"/>
      <c r="C54" s="11"/>
      <c r="D54" s="11"/>
      <c r="E54" s="11"/>
      <c r="F54" s="11"/>
      <c r="G54" s="11"/>
      <c r="H54" s="11"/>
      <c r="I54" s="11"/>
      <c r="J54" s="11"/>
      <c r="K54" s="11"/>
      <c r="L54" s="11"/>
      <c r="M54" s="11"/>
      <c r="N54" s="11"/>
      <c r="O54" s="20"/>
      <c r="P54" s="20"/>
    </row>
    <row r="55" spans="1:16">
      <c r="A55" s="12" t="s">
        <v>30</v>
      </c>
      <c r="B55" s="12" t="s">
        <v>31</v>
      </c>
      <c r="C55" s="13" t="s">
        <v>32</v>
      </c>
      <c r="D55" s="12" t="s">
        <v>33</v>
      </c>
      <c r="E55" s="12" t="s">
        <v>34</v>
      </c>
      <c r="F55" s="12" t="s">
        <v>35</v>
      </c>
      <c r="G55" s="12" t="s">
        <v>36</v>
      </c>
      <c r="H55" s="12" t="s">
        <v>37</v>
      </c>
      <c r="I55" s="12" t="s">
        <v>38</v>
      </c>
      <c r="J55" s="12" t="s">
        <v>39</v>
      </c>
      <c r="K55" s="14" t="s">
        <v>40</v>
      </c>
      <c r="L55" s="12" t="s">
        <v>41</v>
      </c>
      <c r="M55" s="12" t="s">
        <v>42</v>
      </c>
      <c r="N55" s="12" t="s">
        <v>43</v>
      </c>
      <c r="O55" s="20"/>
      <c r="P55" s="20"/>
    </row>
    <row r="56" spans="1:16">
      <c r="A56" s="26" t="s">
        <v>82</v>
      </c>
      <c r="B56" s="26" t="s">
        <v>46</v>
      </c>
      <c r="C56" s="3" t="s">
        <v>162</v>
      </c>
      <c r="D56" s="3" t="s">
        <v>199</v>
      </c>
      <c r="E56" s="1" t="s">
        <v>202</v>
      </c>
      <c r="F56" s="20">
        <v>4.7489999999999997</v>
      </c>
      <c r="G56" s="20">
        <v>0.39800000000000002</v>
      </c>
      <c r="H56" s="20">
        <v>2.6240000000000001</v>
      </c>
      <c r="I56" s="20">
        <v>0.248</v>
      </c>
      <c r="J56" s="20">
        <f>F56-H56</f>
        <v>2.1249999999999996</v>
      </c>
      <c r="K56" s="20">
        <f>SQRT((G56)^2 + (I56)^2)</f>
        <v>0.46894349339765873</v>
      </c>
      <c r="L56" s="20">
        <f>K56^2</f>
        <v>0.21990799999999999</v>
      </c>
      <c r="M56" s="8">
        <v>0.56999999999999995</v>
      </c>
      <c r="N56" s="20">
        <f>(J56-M56)^2</f>
        <v>2.4180249999999992</v>
      </c>
      <c r="O56" s="20"/>
      <c r="P56" s="20"/>
    </row>
    <row r="57" spans="1:16">
      <c r="A57" s="1" t="s">
        <v>101</v>
      </c>
      <c r="B57" s="26" t="s">
        <v>46</v>
      </c>
      <c r="C57" s="6" t="s">
        <v>9</v>
      </c>
      <c r="D57" s="3" t="s">
        <v>200</v>
      </c>
      <c r="E57" s="1" t="s">
        <v>203</v>
      </c>
      <c r="F57" s="20">
        <v>-38.72</v>
      </c>
      <c r="G57" s="20">
        <v>0.44657474000000003</v>
      </c>
      <c r="H57" s="20">
        <v>-40.954999999999998</v>
      </c>
      <c r="I57" s="20">
        <v>0.219</v>
      </c>
      <c r="J57" s="20">
        <f>(F57-H57)</f>
        <v>2.2349999999999994</v>
      </c>
      <c r="K57" s="20">
        <f>SQRT((G57)^2 + (I57)^2)</f>
        <v>0.49738315050478704</v>
      </c>
      <c r="L57" s="20">
        <f>K57^2</f>
        <v>0.24738999840606765</v>
      </c>
      <c r="M57" s="8">
        <v>1.07</v>
      </c>
      <c r="N57" s="20">
        <f>(J57-M57)^2</f>
        <v>1.3572249999999986</v>
      </c>
      <c r="O57" s="20"/>
      <c r="P57" s="20"/>
    </row>
    <row r="58" spans="1:16">
      <c r="A58" s="1" t="s">
        <v>101</v>
      </c>
      <c r="B58" s="26" t="s">
        <v>46</v>
      </c>
      <c r="C58" s="6" t="s">
        <v>11</v>
      </c>
      <c r="D58" s="3" t="s">
        <v>176</v>
      </c>
      <c r="E58" s="1" t="s">
        <v>186</v>
      </c>
      <c r="F58" s="20">
        <v>-41.609000000000002</v>
      </c>
      <c r="G58" s="20">
        <v>0.37</v>
      </c>
      <c r="H58" s="20">
        <v>-43.83</v>
      </c>
      <c r="I58" s="20">
        <v>0.17</v>
      </c>
      <c r="J58" s="20">
        <f t="shared" ref="J58" si="12">(F58-H58)</f>
        <v>2.2209999999999965</v>
      </c>
      <c r="K58" s="20">
        <f t="shared" ref="K58:K69" si="13">SQRT((G58)^2 + (I58)^2)</f>
        <v>0.40718546143004664</v>
      </c>
      <c r="L58" s="20">
        <f t="shared" ref="L58:L69" si="14">K58^2</f>
        <v>0.1658</v>
      </c>
      <c r="M58" s="8">
        <v>1.53</v>
      </c>
      <c r="N58" s="20">
        <f t="shared" ref="N58:N69" si="15">(J58-M58)^2</f>
        <v>0.47748099999999516</v>
      </c>
      <c r="O58" s="20"/>
      <c r="P58" s="20"/>
    </row>
    <row r="59" spans="1:16">
      <c r="A59" s="26" t="s">
        <v>82</v>
      </c>
      <c r="B59" s="26" t="s">
        <v>46</v>
      </c>
      <c r="C59" s="3" t="s">
        <v>166</v>
      </c>
      <c r="D59" s="3" t="s">
        <v>125</v>
      </c>
      <c r="E59" s="1" t="s">
        <v>204</v>
      </c>
      <c r="F59" s="20">
        <v>-4.3090000000000002</v>
      </c>
      <c r="G59" s="20">
        <v>0.23400000000000001</v>
      </c>
      <c r="H59" s="20">
        <v>-4.2960000000000003</v>
      </c>
      <c r="I59" s="20">
        <v>4.8000000000000001E-2</v>
      </c>
      <c r="J59" s="20">
        <f t="shared" ref="J59:J66" si="16">F59-H59</f>
        <v>-1.2999999999999901E-2</v>
      </c>
      <c r="K59" s="20">
        <f t="shared" si="13"/>
        <v>0.23887235084873262</v>
      </c>
      <c r="L59" s="20">
        <f t="shared" si="14"/>
        <v>5.7060000000000013E-2</v>
      </c>
      <c r="M59" s="8">
        <v>-0.82</v>
      </c>
      <c r="N59" s="20">
        <f t="shared" si="15"/>
        <v>0.65124900000000008</v>
      </c>
      <c r="O59" s="20"/>
      <c r="P59" s="20"/>
    </row>
    <row r="60" spans="1:16">
      <c r="A60" s="26" t="s">
        <v>82</v>
      </c>
      <c r="B60" s="26" t="s">
        <v>46</v>
      </c>
      <c r="C60" s="3" t="s">
        <v>167</v>
      </c>
      <c r="D60" s="3" t="s">
        <v>178</v>
      </c>
      <c r="E60" s="1" t="s">
        <v>59</v>
      </c>
      <c r="F60" s="20">
        <v>12.282999999999999</v>
      </c>
      <c r="G60" s="20">
        <v>0.18</v>
      </c>
      <c r="H60" s="20">
        <v>12.984999999999999</v>
      </c>
      <c r="I60" s="20">
        <v>3.4000000000000002E-2</v>
      </c>
      <c r="J60" s="20">
        <f t="shared" si="16"/>
        <v>-0.70199999999999996</v>
      </c>
      <c r="K60" s="20">
        <f t="shared" si="13"/>
        <v>0.18318296864064626</v>
      </c>
      <c r="L60" s="20">
        <f t="shared" si="14"/>
        <v>3.3555999999999989E-2</v>
      </c>
      <c r="M60" s="8">
        <v>-0.85</v>
      </c>
      <c r="N60" s="20">
        <f t="shared" si="15"/>
        <v>2.1904000000000007E-2</v>
      </c>
      <c r="O60" s="20"/>
      <c r="P60" s="20"/>
    </row>
    <row r="61" spans="1:16">
      <c r="A61" s="26" t="s">
        <v>82</v>
      </c>
      <c r="B61" s="26" t="s">
        <v>46</v>
      </c>
      <c r="C61" s="3" t="s">
        <v>13</v>
      </c>
      <c r="D61" s="3" t="s">
        <v>179</v>
      </c>
      <c r="E61" s="1" t="s">
        <v>187</v>
      </c>
      <c r="F61" s="20">
        <v>16.119</v>
      </c>
      <c r="G61" s="20">
        <v>0.214</v>
      </c>
      <c r="H61" s="20">
        <v>13.843</v>
      </c>
      <c r="I61" s="20">
        <v>9.2999999999999999E-2</v>
      </c>
      <c r="J61" s="20">
        <f t="shared" si="16"/>
        <v>2.2759999999999998</v>
      </c>
      <c r="K61" s="20">
        <f t="shared" si="13"/>
        <v>0.23333452380648689</v>
      </c>
      <c r="L61" s="20">
        <f t="shared" si="14"/>
        <v>5.4445E-2</v>
      </c>
      <c r="M61" s="8">
        <v>0.46</v>
      </c>
      <c r="N61" s="20">
        <f t="shared" si="15"/>
        <v>3.2978559999999995</v>
      </c>
      <c r="O61" s="20"/>
      <c r="P61" s="20"/>
    </row>
    <row r="62" spans="1:16">
      <c r="A62" s="26" t="s">
        <v>82</v>
      </c>
      <c r="B62" s="26" t="s">
        <v>46</v>
      </c>
      <c r="C62" s="3" t="s">
        <v>168</v>
      </c>
      <c r="D62" s="3" t="s">
        <v>180</v>
      </c>
      <c r="E62" s="1" t="s">
        <v>61</v>
      </c>
      <c r="F62" s="20">
        <v>-4.7889999999999997</v>
      </c>
      <c r="G62" s="20">
        <v>9.2999999999999999E-2</v>
      </c>
      <c r="H62" s="20">
        <v>-4.9820000000000002</v>
      </c>
      <c r="I62" s="20">
        <v>1.9E-2</v>
      </c>
      <c r="J62" s="20">
        <f t="shared" si="16"/>
        <v>0.1930000000000005</v>
      </c>
      <c r="K62" s="20">
        <f t="shared" si="13"/>
        <v>9.4921019800674286E-2</v>
      </c>
      <c r="L62" s="20">
        <f t="shared" si="14"/>
        <v>9.0100000000000006E-3</v>
      </c>
      <c r="M62" s="8">
        <v>0.99</v>
      </c>
      <c r="N62" s="20">
        <f t="shared" si="15"/>
        <v>0.63520899999999914</v>
      </c>
      <c r="O62" s="20"/>
      <c r="P62" s="20"/>
    </row>
    <row r="63" spans="1:16">
      <c r="A63" s="26" t="s">
        <v>82</v>
      </c>
      <c r="B63" s="26" t="s">
        <v>46</v>
      </c>
      <c r="C63" s="3" t="s">
        <v>169</v>
      </c>
      <c r="D63" s="3" t="s">
        <v>181</v>
      </c>
      <c r="E63" s="1" t="s">
        <v>91</v>
      </c>
      <c r="F63" s="20">
        <v>70.179000000000002</v>
      </c>
      <c r="G63" s="20">
        <v>0.24099999999999999</v>
      </c>
      <c r="H63" s="20">
        <v>69.418000000000006</v>
      </c>
      <c r="I63" s="20">
        <v>0.04</v>
      </c>
      <c r="J63" s="20">
        <f t="shared" si="16"/>
        <v>0.76099999999999568</v>
      </c>
      <c r="K63" s="20">
        <f t="shared" si="13"/>
        <v>0.24429695045169925</v>
      </c>
      <c r="L63" s="20">
        <f t="shared" si="14"/>
        <v>5.9680999999999998E-2</v>
      </c>
      <c r="M63" s="8">
        <v>1.53</v>
      </c>
      <c r="N63" s="20">
        <f t="shared" si="15"/>
        <v>0.59136100000000669</v>
      </c>
      <c r="O63" s="20"/>
      <c r="P63" s="20"/>
    </row>
    <row r="64" spans="1:16">
      <c r="A64" s="26" t="s">
        <v>82</v>
      </c>
      <c r="B64" s="26" t="s">
        <v>46</v>
      </c>
      <c r="C64" s="3" t="s">
        <v>170</v>
      </c>
      <c r="D64" s="3" t="s">
        <v>201</v>
      </c>
      <c r="E64" s="1" t="s">
        <v>205</v>
      </c>
      <c r="F64" s="20">
        <v>11.673999999999999</v>
      </c>
      <c r="G64" s="20">
        <v>0.111</v>
      </c>
      <c r="H64" s="20">
        <v>12.246</v>
      </c>
      <c r="I64" s="20">
        <v>0.17299999999999999</v>
      </c>
      <c r="J64" s="20">
        <f t="shared" si="16"/>
        <v>-0.57200000000000095</v>
      </c>
      <c r="K64" s="20">
        <f t="shared" si="13"/>
        <v>0.20554804791094464</v>
      </c>
      <c r="L64" s="20">
        <f t="shared" si="14"/>
        <v>4.2249999999999989E-2</v>
      </c>
      <c r="M64" s="8">
        <v>0.06</v>
      </c>
      <c r="N64" s="20">
        <f t="shared" si="15"/>
        <v>0.39942400000000128</v>
      </c>
      <c r="O64" s="20"/>
      <c r="P64" s="20"/>
    </row>
    <row r="65" spans="1:16">
      <c r="A65" s="26" t="s">
        <v>82</v>
      </c>
      <c r="B65" s="26" t="s">
        <v>46</v>
      </c>
      <c r="C65" s="3" t="s">
        <v>171</v>
      </c>
      <c r="D65" s="3" t="s">
        <v>86</v>
      </c>
      <c r="E65" s="1" t="s">
        <v>92</v>
      </c>
      <c r="F65" s="20">
        <v>-7.7270000000000003</v>
      </c>
      <c r="G65" s="20">
        <v>0.34300000000000003</v>
      </c>
      <c r="H65" s="20">
        <v>-8.2859999999999996</v>
      </c>
      <c r="I65" s="20">
        <v>9.9000000000000005E-2</v>
      </c>
      <c r="J65" s="20">
        <f t="shared" si="16"/>
        <v>0.55899999999999928</v>
      </c>
      <c r="K65" s="20">
        <f t="shared" si="13"/>
        <v>0.35700140055747681</v>
      </c>
      <c r="L65" s="20">
        <f t="shared" si="14"/>
        <v>0.12745000000000001</v>
      </c>
      <c r="M65" s="8">
        <v>0.47</v>
      </c>
      <c r="N65" s="20">
        <f t="shared" si="15"/>
        <v>7.9209999999998761E-3</v>
      </c>
      <c r="O65" s="20"/>
      <c r="P65" s="20"/>
    </row>
    <row r="66" spans="1:16">
      <c r="A66" s="26" t="s">
        <v>82</v>
      </c>
      <c r="B66" s="26" t="s">
        <v>46</v>
      </c>
      <c r="C66" s="3" t="s">
        <v>172</v>
      </c>
      <c r="D66" s="3" t="s">
        <v>182</v>
      </c>
      <c r="E66" s="1" t="s">
        <v>93</v>
      </c>
      <c r="F66" s="20">
        <v>11.613</v>
      </c>
      <c r="G66" s="20">
        <v>0.127</v>
      </c>
      <c r="H66" s="20">
        <v>10.423</v>
      </c>
      <c r="I66" s="20">
        <v>0.13500000000000001</v>
      </c>
      <c r="J66" s="20">
        <f t="shared" si="16"/>
        <v>1.1899999999999995</v>
      </c>
      <c r="K66" s="20">
        <f t="shared" si="13"/>
        <v>0.18534832073693033</v>
      </c>
      <c r="L66" s="20">
        <f t="shared" si="14"/>
        <v>3.4353999999999996E-2</v>
      </c>
      <c r="M66" s="8">
        <v>-0.43</v>
      </c>
      <c r="N66" s="20">
        <f t="shared" si="15"/>
        <v>2.6243999999999983</v>
      </c>
      <c r="O66" s="20"/>
      <c r="P66" s="20"/>
    </row>
    <row r="67" spans="1:16">
      <c r="A67" s="1" t="s">
        <v>206</v>
      </c>
      <c r="B67" s="26" t="s">
        <v>46</v>
      </c>
      <c r="C67" s="6" t="s">
        <v>173</v>
      </c>
      <c r="D67" s="3" t="s">
        <v>183</v>
      </c>
      <c r="E67" s="1" t="s">
        <v>94</v>
      </c>
      <c r="F67" s="20">
        <v>13.455</v>
      </c>
      <c r="G67" s="20">
        <v>0.254</v>
      </c>
      <c r="H67" s="20">
        <v>12.03</v>
      </c>
      <c r="I67" s="20">
        <v>0.122</v>
      </c>
      <c r="J67" s="20">
        <f t="shared" ref="J67:J69" si="17">(F67-H67)</f>
        <v>1.4250000000000007</v>
      </c>
      <c r="K67" s="20">
        <f t="shared" si="13"/>
        <v>0.28178005607210743</v>
      </c>
      <c r="L67" s="20">
        <f t="shared" si="14"/>
        <v>7.9400000000000012E-2</v>
      </c>
      <c r="M67" s="8">
        <v>-0.27</v>
      </c>
      <c r="N67" s="20">
        <f t="shared" si="15"/>
        <v>2.8730250000000024</v>
      </c>
      <c r="O67" s="20"/>
      <c r="P67" s="20"/>
    </row>
    <row r="68" spans="1:16">
      <c r="A68" s="1" t="s">
        <v>206</v>
      </c>
      <c r="B68" s="26" t="s">
        <v>46</v>
      </c>
      <c r="C68" s="6" t="s">
        <v>174</v>
      </c>
      <c r="D68" s="3" t="s">
        <v>184</v>
      </c>
      <c r="E68" s="1" t="s">
        <v>188</v>
      </c>
      <c r="F68" s="20">
        <v>11.936</v>
      </c>
      <c r="G68" s="20">
        <v>0.185</v>
      </c>
      <c r="H68" s="20">
        <v>11.746</v>
      </c>
      <c r="I68" s="20">
        <v>0.17100000000000001</v>
      </c>
      <c r="J68" s="20">
        <f t="shared" si="17"/>
        <v>0.1899999999999995</v>
      </c>
      <c r="K68" s="20">
        <f t="shared" si="13"/>
        <v>0.25192459189209776</v>
      </c>
      <c r="L68" s="20">
        <f t="shared" si="14"/>
        <v>6.3466000000000009E-2</v>
      </c>
      <c r="M68" s="8">
        <v>-0.63</v>
      </c>
      <c r="N68" s="20">
        <f t="shared" si="15"/>
        <v>0.67239999999999922</v>
      </c>
      <c r="O68" s="20"/>
      <c r="P68" s="20"/>
    </row>
    <row r="69" spans="1:16">
      <c r="A69" s="1" t="s">
        <v>206</v>
      </c>
      <c r="B69" s="26" t="s">
        <v>46</v>
      </c>
      <c r="C69" s="6" t="s">
        <v>175</v>
      </c>
      <c r="D69" s="3" t="s">
        <v>185</v>
      </c>
      <c r="E69" s="1" t="s">
        <v>189</v>
      </c>
      <c r="F69" s="20">
        <v>14.977</v>
      </c>
      <c r="G69" s="20">
        <v>0.12258874</v>
      </c>
      <c r="H69" s="20">
        <v>14.122999999999999</v>
      </c>
      <c r="I69" s="20">
        <v>0.159</v>
      </c>
      <c r="J69" s="20">
        <f t="shared" si="17"/>
        <v>0.85400000000000098</v>
      </c>
      <c r="K69" s="20">
        <f t="shared" si="13"/>
        <v>0.20077101178902196</v>
      </c>
      <c r="L69" s="20">
        <f t="shared" si="14"/>
        <v>4.0308999174787592E-2</v>
      </c>
      <c r="M69" s="8">
        <v>0.19</v>
      </c>
      <c r="N69" s="20">
        <f t="shared" si="15"/>
        <v>0.4408960000000014</v>
      </c>
      <c r="O69" s="20"/>
      <c r="P69" s="20"/>
    </row>
    <row r="70" spans="1:16">
      <c r="A70" s="15" t="s">
        <v>82</v>
      </c>
      <c r="B70" s="1" t="s">
        <v>70</v>
      </c>
      <c r="C70" s="3" t="s">
        <v>14</v>
      </c>
      <c r="D70" s="3" t="s">
        <v>190</v>
      </c>
      <c r="E70" s="1" t="s">
        <v>195</v>
      </c>
      <c r="F70" s="20">
        <v>-5.1050000000000004</v>
      </c>
      <c r="G70" s="20">
        <v>8.5999999999999993E-2</v>
      </c>
      <c r="H70" s="20">
        <v>-5.056</v>
      </c>
      <c r="I70" s="20">
        <v>5.0999999999999997E-2</v>
      </c>
      <c r="J70" s="20">
        <f>(F70-H70)</f>
        <v>-4.9000000000000377E-2</v>
      </c>
      <c r="K70" s="20">
        <f>SQRT((G70)^2 + (I70)^2)</f>
        <v>9.9984998874831213E-2</v>
      </c>
      <c r="L70" s="20">
        <f>K70^2</f>
        <v>9.9969999999999989E-3</v>
      </c>
      <c r="M70" s="8">
        <v>-0.51</v>
      </c>
      <c r="N70" s="20">
        <f>(J70-M70)^2</f>
        <v>0.21252099999999965</v>
      </c>
    </row>
    <row r="71" spans="1:16">
      <c r="A71" s="1" t="s">
        <v>101</v>
      </c>
      <c r="B71" s="1" t="s">
        <v>70</v>
      </c>
      <c r="C71" s="6" t="s">
        <v>163</v>
      </c>
      <c r="D71" s="3" t="s">
        <v>191</v>
      </c>
      <c r="E71" s="1" t="s">
        <v>196</v>
      </c>
      <c r="F71" s="20">
        <v>-8.9540000000000006</v>
      </c>
      <c r="G71" s="20">
        <v>0.08</v>
      </c>
      <c r="H71" s="20">
        <v>-8.9640000000000004</v>
      </c>
      <c r="I71" s="20">
        <v>4.2999999999999997E-2</v>
      </c>
      <c r="J71" s="20">
        <f t="shared" ref="J71:J74" si="18">(F71-H71)</f>
        <v>9.9999999999997868E-3</v>
      </c>
      <c r="K71" s="20">
        <f t="shared" ref="K71:K74" si="19">SQRT((G71)^2 + (I71)^2)</f>
        <v>9.0824005637276314E-2</v>
      </c>
      <c r="L71" s="20">
        <f t="shared" ref="L71:L74" si="20">K71^2</f>
        <v>8.2489999999999994E-3</v>
      </c>
      <c r="M71" s="8">
        <v>1.1299999999999999</v>
      </c>
      <c r="N71" s="20">
        <f t="shared" ref="N71:N74" si="21">(J71-M71)^2</f>
        <v>1.2544000000000002</v>
      </c>
    </row>
    <row r="72" spans="1:16">
      <c r="A72" s="1" t="s">
        <v>101</v>
      </c>
      <c r="B72" s="1" t="s">
        <v>70</v>
      </c>
      <c r="C72" s="6" t="s">
        <v>164</v>
      </c>
      <c r="D72" s="3" t="s">
        <v>192</v>
      </c>
      <c r="E72" s="1" t="s">
        <v>77</v>
      </c>
      <c r="F72" s="20">
        <v>12.417</v>
      </c>
      <c r="G72" s="20">
        <v>0.14799999999999999</v>
      </c>
      <c r="H72" s="20">
        <v>11.585000000000001</v>
      </c>
      <c r="I72" s="20">
        <v>0.122</v>
      </c>
      <c r="J72" s="20">
        <f t="shared" si="18"/>
        <v>0.83199999999999896</v>
      </c>
      <c r="K72" s="20">
        <f t="shared" si="19"/>
        <v>0.19180198122021574</v>
      </c>
      <c r="L72" s="20">
        <f t="shared" si="20"/>
        <v>3.6787999999999994E-2</v>
      </c>
      <c r="M72" s="8">
        <v>0.47</v>
      </c>
      <c r="N72" s="20">
        <f t="shared" si="21"/>
        <v>0.13104399999999927</v>
      </c>
    </row>
    <row r="73" spans="1:16">
      <c r="A73" s="1" t="s">
        <v>101</v>
      </c>
      <c r="B73" s="1" t="s">
        <v>70</v>
      </c>
      <c r="C73" s="6" t="s">
        <v>165</v>
      </c>
      <c r="D73" s="3" t="s">
        <v>193</v>
      </c>
      <c r="E73" s="1" t="s">
        <v>197</v>
      </c>
      <c r="F73" s="20">
        <v>6.3879999999999999</v>
      </c>
      <c r="G73" s="20">
        <v>0.18</v>
      </c>
      <c r="H73" s="20">
        <v>6.2859999999999996</v>
      </c>
      <c r="I73" s="20">
        <v>9.0999999999999998E-2</v>
      </c>
      <c r="J73" s="20">
        <f t="shared" si="18"/>
        <v>0.10200000000000031</v>
      </c>
      <c r="K73" s="20">
        <f t="shared" si="19"/>
        <v>0.20169531476958011</v>
      </c>
      <c r="L73" s="20">
        <f t="shared" si="20"/>
        <v>4.0681000000000002E-2</v>
      </c>
      <c r="M73" s="8">
        <v>0.97</v>
      </c>
      <c r="N73" s="20">
        <f t="shared" si="21"/>
        <v>0.75342399999999943</v>
      </c>
    </row>
    <row r="74" spans="1:16">
      <c r="A74" s="1" t="s">
        <v>101</v>
      </c>
      <c r="B74" s="1" t="s">
        <v>70</v>
      </c>
      <c r="C74" s="6" t="s">
        <v>12</v>
      </c>
      <c r="D74" s="3" t="s">
        <v>194</v>
      </c>
      <c r="E74" s="1" t="s">
        <v>198</v>
      </c>
      <c r="F74" s="20">
        <v>-24.625</v>
      </c>
      <c r="G74" s="20">
        <v>0.25446611000000002</v>
      </c>
      <c r="H74" s="20">
        <v>-24.088000000000001</v>
      </c>
      <c r="I74" s="20">
        <v>9.1999999999999998E-2</v>
      </c>
      <c r="J74" s="20">
        <f t="shared" si="18"/>
        <v>-0.53699999999999903</v>
      </c>
      <c r="K74" s="20">
        <f t="shared" si="19"/>
        <v>0.27058640235335574</v>
      </c>
      <c r="L74" s="20">
        <f t="shared" si="20"/>
        <v>7.321700113853212E-2</v>
      </c>
      <c r="M74" s="8">
        <v>0.02</v>
      </c>
      <c r="N74" s="20">
        <f t="shared" si="21"/>
        <v>0.31024899999999894</v>
      </c>
    </row>
    <row r="75" spans="1:16">
      <c r="L75" s="18" t="s">
        <v>67</v>
      </c>
      <c r="M75" s="18"/>
      <c r="N75" s="18" t="s">
        <v>67</v>
      </c>
    </row>
    <row r="76" spans="1:16">
      <c r="L76" s="20">
        <f>SUM(L56:L74)</f>
        <v>1.4030109987193871</v>
      </c>
      <c r="M76" s="20"/>
      <c r="N76" s="20">
        <f>SUM(N56:N74)</f>
        <v>19.130013999999996</v>
      </c>
    </row>
    <row r="77" spans="1:16">
      <c r="L77" s="20"/>
      <c r="M77" s="20"/>
      <c r="N77" s="20"/>
    </row>
    <row r="78" spans="1:16">
      <c r="L78" s="20"/>
      <c r="M78" s="19" t="s">
        <v>68</v>
      </c>
      <c r="N78" s="20">
        <f>SQRT(N76/19)</f>
        <v>1.0034155879321702</v>
      </c>
    </row>
    <row r="79" spans="1:16">
      <c r="L79" s="20"/>
      <c r="M79" s="19" t="s">
        <v>40</v>
      </c>
      <c r="N79" s="20">
        <f>SQRT(L76/19)</f>
        <v>0.27174010403899829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2609C-6CD3-3444-B663-DF68B7CAA6D7}">
  <dimension ref="A1:N65"/>
  <sheetViews>
    <sheetView workbookViewId="0">
      <selection activeCell="A3" sqref="A3:E60"/>
    </sheetView>
  </sheetViews>
  <sheetFormatPr baseColWidth="10" defaultRowHeight="16"/>
  <cols>
    <col min="3" max="3" width="16.1640625" customWidth="1"/>
    <col min="5" max="5" width="12.83203125" customWidth="1"/>
    <col min="6" max="6" width="16" customWidth="1"/>
    <col min="7" max="7" width="20.1640625" customWidth="1"/>
    <col min="8" max="8" width="16.6640625" customWidth="1"/>
    <col min="9" max="9" width="21.6640625" customWidth="1"/>
    <col min="11" max="11" width="12.83203125" customWidth="1"/>
    <col min="12" max="12" width="16.33203125" customWidth="1"/>
    <col min="14" max="14" width="15.5" customWidth="1"/>
  </cols>
  <sheetData>
    <row r="1" spans="1:14" ht="17">
      <c r="A1" s="10" t="s">
        <v>225</v>
      </c>
      <c r="B1" s="11"/>
      <c r="C1" s="11"/>
      <c r="D1" s="11"/>
      <c r="E1" s="11"/>
      <c r="F1" s="11"/>
      <c r="G1" s="11"/>
      <c r="H1" s="11"/>
      <c r="I1" s="11"/>
      <c r="J1" s="11"/>
      <c r="K1" s="11"/>
      <c r="L1" s="11"/>
      <c r="M1" s="11"/>
      <c r="N1" s="11"/>
    </row>
    <row r="2" spans="1:14">
      <c r="A2" s="12" t="s">
        <v>30</v>
      </c>
      <c r="B2" s="12" t="s">
        <v>31</v>
      </c>
      <c r="C2" s="13" t="s">
        <v>32</v>
      </c>
      <c r="D2" s="12" t="s">
        <v>33</v>
      </c>
      <c r="E2" s="12" t="s">
        <v>34</v>
      </c>
      <c r="F2" s="12" t="s">
        <v>35</v>
      </c>
      <c r="G2" s="12" t="s">
        <v>36</v>
      </c>
      <c r="H2" s="12" t="s">
        <v>37</v>
      </c>
      <c r="I2" s="12" t="s">
        <v>38</v>
      </c>
      <c r="J2" s="12" t="s">
        <v>39</v>
      </c>
      <c r="K2" s="14" t="s">
        <v>40</v>
      </c>
      <c r="L2" s="12" t="s">
        <v>41</v>
      </c>
      <c r="M2" s="12" t="s">
        <v>42</v>
      </c>
      <c r="N2" s="12" t="s">
        <v>43</v>
      </c>
    </row>
    <row r="3" spans="1:14">
      <c r="A3" s="15" t="s">
        <v>82</v>
      </c>
      <c r="B3" s="15" t="s">
        <v>46</v>
      </c>
      <c r="C3" s="3" t="s">
        <v>5</v>
      </c>
      <c r="D3" s="3" t="s">
        <v>47</v>
      </c>
      <c r="E3" s="1" t="s">
        <v>56</v>
      </c>
      <c r="F3" s="20">
        <v>-12.409000000000001</v>
      </c>
      <c r="G3" s="20">
        <v>0.20899999999999999</v>
      </c>
      <c r="H3" s="20">
        <v>-13.032999999999999</v>
      </c>
      <c r="I3" s="20">
        <v>0.20200000000000001</v>
      </c>
      <c r="J3" s="20">
        <f>F3-H3</f>
        <v>0.62399999999999878</v>
      </c>
      <c r="K3" s="20">
        <f>SQRT((G3)^2 + (I3)^2)</f>
        <v>0.29066303514551006</v>
      </c>
      <c r="L3" s="20">
        <f>K3^2</f>
        <v>8.4485000000000018E-2</v>
      </c>
      <c r="M3" s="8">
        <v>-0.01</v>
      </c>
      <c r="N3" s="20">
        <f>(J3-M3)^2</f>
        <v>0.40195599999999848</v>
      </c>
    </row>
    <row r="4" spans="1:14">
      <c r="A4" s="15" t="s">
        <v>82</v>
      </c>
      <c r="B4" s="15" t="s">
        <v>46</v>
      </c>
      <c r="C4" s="3" t="s">
        <v>7</v>
      </c>
      <c r="D4" s="3" t="s">
        <v>48</v>
      </c>
      <c r="E4" s="1" t="s">
        <v>57</v>
      </c>
      <c r="F4" s="20">
        <v>11.23</v>
      </c>
      <c r="G4" s="20">
        <v>0.182</v>
      </c>
      <c r="H4" s="20">
        <v>11.393000000000001</v>
      </c>
      <c r="I4" s="20">
        <v>9.1999999999999998E-2</v>
      </c>
      <c r="J4" s="20">
        <f t="shared" ref="J4:J19" si="0">F4-H4</f>
        <v>-0.16300000000000026</v>
      </c>
      <c r="K4" s="20">
        <f t="shared" ref="K4:K14" si="1">SQRT((G4)^2 + (I4)^2)</f>
        <v>0.20393136100168605</v>
      </c>
      <c r="L4" s="20">
        <f t="shared" ref="L4:L14" si="2">K4^2</f>
        <v>4.1587999999999993E-2</v>
      </c>
      <c r="M4" s="8">
        <v>0.7</v>
      </c>
      <c r="N4" s="20">
        <f t="shared" ref="N4:N14" si="3">(J4-M4)^2</f>
        <v>0.74476900000000035</v>
      </c>
    </row>
    <row r="5" spans="1:14">
      <c r="A5" s="15" t="s">
        <v>82</v>
      </c>
      <c r="B5" s="15" t="s">
        <v>46</v>
      </c>
      <c r="C5" s="3" t="s">
        <v>9</v>
      </c>
      <c r="D5" s="3" t="s">
        <v>83</v>
      </c>
      <c r="E5" s="1" t="s">
        <v>89</v>
      </c>
      <c r="F5" s="20">
        <v>-33.622</v>
      </c>
      <c r="G5" s="20">
        <v>0.41399999999999998</v>
      </c>
      <c r="H5" s="20">
        <v>-37.578000000000003</v>
      </c>
      <c r="I5" s="20">
        <v>0.16800000000000001</v>
      </c>
      <c r="J5" s="20">
        <f t="shared" si="0"/>
        <v>3.9560000000000031</v>
      </c>
      <c r="K5" s="20">
        <f t="shared" si="1"/>
        <v>0.44678854058715517</v>
      </c>
      <c r="L5" s="20">
        <f t="shared" si="2"/>
        <v>0.19961999999999999</v>
      </c>
      <c r="M5" s="8">
        <v>1.19</v>
      </c>
      <c r="N5" s="20">
        <f t="shared" si="3"/>
        <v>7.6507560000000172</v>
      </c>
    </row>
    <row r="6" spans="1:14">
      <c r="A6" s="15" t="s">
        <v>101</v>
      </c>
      <c r="B6" s="15" t="s">
        <v>46</v>
      </c>
      <c r="C6" s="3" t="s">
        <v>11</v>
      </c>
      <c r="D6" s="3" t="s">
        <v>84</v>
      </c>
      <c r="E6" s="1" t="s">
        <v>90</v>
      </c>
      <c r="F6" s="20">
        <v>-40.414999999999999</v>
      </c>
      <c r="G6" s="20">
        <v>0.307</v>
      </c>
      <c r="H6" s="20">
        <v>-41.499000000000002</v>
      </c>
      <c r="I6" s="20">
        <v>0.23400000000000001</v>
      </c>
      <c r="J6" s="20">
        <f t="shared" si="0"/>
        <v>1.0840000000000032</v>
      </c>
      <c r="K6" s="20">
        <f t="shared" si="1"/>
        <v>0.3860116578550446</v>
      </c>
      <c r="L6" s="20">
        <f t="shared" si="2"/>
        <v>0.14900500000000003</v>
      </c>
      <c r="M6" s="8">
        <v>1.28</v>
      </c>
      <c r="N6" s="20">
        <f t="shared" si="3"/>
        <v>3.8415999999998764E-2</v>
      </c>
    </row>
    <row r="7" spans="1:14">
      <c r="A7" s="15" t="s">
        <v>82</v>
      </c>
      <c r="B7" s="15" t="s">
        <v>46</v>
      </c>
      <c r="C7" s="3" t="s">
        <v>13</v>
      </c>
      <c r="D7" s="3" t="s">
        <v>49</v>
      </c>
      <c r="E7" s="1" t="s">
        <v>58</v>
      </c>
      <c r="F7" s="20">
        <v>12.587</v>
      </c>
      <c r="G7" s="20">
        <v>0.14499999999999999</v>
      </c>
      <c r="H7" s="20">
        <v>11.454000000000001</v>
      </c>
      <c r="I7" s="20">
        <v>0.09</v>
      </c>
      <c r="J7" s="20">
        <f t="shared" si="0"/>
        <v>1.1329999999999991</v>
      </c>
      <c r="K7" s="20">
        <f t="shared" si="1"/>
        <v>0.1706604816587601</v>
      </c>
      <c r="L7" s="20">
        <f t="shared" si="2"/>
        <v>2.9124999999999995E-2</v>
      </c>
      <c r="M7" s="8">
        <v>-1.28</v>
      </c>
      <c r="N7" s="20">
        <f t="shared" si="3"/>
        <v>5.822568999999997</v>
      </c>
    </row>
    <row r="8" spans="1:14">
      <c r="A8" s="15" t="s">
        <v>82</v>
      </c>
      <c r="B8" s="15" t="s">
        <v>46</v>
      </c>
      <c r="C8" s="3" t="s">
        <v>15</v>
      </c>
      <c r="D8" s="3" t="s">
        <v>50</v>
      </c>
      <c r="E8" s="1" t="s">
        <v>59</v>
      </c>
      <c r="F8" s="20">
        <v>15.212999999999999</v>
      </c>
      <c r="G8" s="20">
        <v>0.249</v>
      </c>
      <c r="H8" s="20">
        <v>13.407999999999999</v>
      </c>
      <c r="I8" s="20">
        <v>7.0000000000000007E-2</v>
      </c>
      <c r="J8" s="20">
        <f t="shared" si="0"/>
        <v>1.8049999999999997</v>
      </c>
      <c r="K8" s="20">
        <f t="shared" si="1"/>
        <v>0.25865227623200998</v>
      </c>
      <c r="L8" s="20">
        <f t="shared" si="2"/>
        <v>6.6901000000000002E-2</v>
      </c>
      <c r="M8" s="8">
        <v>1.26</v>
      </c>
      <c r="N8" s="20">
        <f t="shared" si="3"/>
        <v>0.29702499999999971</v>
      </c>
    </row>
    <row r="9" spans="1:14">
      <c r="A9" s="15" t="s">
        <v>82</v>
      </c>
      <c r="B9" s="15" t="s">
        <v>46</v>
      </c>
      <c r="C9" s="3" t="s">
        <v>16</v>
      </c>
      <c r="D9" s="3" t="s">
        <v>51</v>
      </c>
      <c r="E9" s="1" t="s">
        <v>60</v>
      </c>
      <c r="F9" s="20">
        <v>-5.4050000000000002</v>
      </c>
      <c r="G9" s="20">
        <v>0.22500000000000001</v>
      </c>
      <c r="H9" s="20">
        <v>-6.15</v>
      </c>
      <c r="I9" s="20">
        <v>9.0999999999999998E-2</v>
      </c>
      <c r="J9" s="20">
        <f t="shared" si="0"/>
        <v>0.74500000000000011</v>
      </c>
      <c r="K9" s="20">
        <f t="shared" si="1"/>
        <v>0.24270558296009592</v>
      </c>
      <c r="L9" s="20">
        <f t="shared" si="2"/>
        <v>5.8906000000000007E-2</v>
      </c>
      <c r="M9" s="8">
        <v>1.35</v>
      </c>
      <c r="N9" s="20">
        <f t="shared" si="3"/>
        <v>0.36602499999999999</v>
      </c>
    </row>
    <row r="10" spans="1:14">
      <c r="A10" s="15" t="s">
        <v>82</v>
      </c>
      <c r="B10" s="15" t="s">
        <v>46</v>
      </c>
      <c r="C10" s="3" t="s">
        <v>17</v>
      </c>
      <c r="D10" s="3" t="s">
        <v>52</v>
      </c>
      <c r="E10" s="1" t="s">
        <v>61</v>
      </c>
      <c r="F10" s="20">
        <v>69.421000000000006</v>
      </c>
      <c r="G10" s="20">
        <v>0.41299999999999998</v>
      </c>
      <c r="H10" s="20">
        <v>70.144000000000005</v>
      </c>
      <c r="I10" s="20">
        <v>2.5999999999999999E-2</v>
      </c>
      <c r="J10" s="20">
        <f t="shared" si="0"/>
        <v>-0.72299999999999898</v>
      </c>
      <c r="K10" s="20">
        <f t="shared" si="1"/>
        <v>0.41381759266614077</v>
      </c>
      <c r="L10" s="20">
        <f t="shared" si="2"/>
        <v>0.17124500000000001</v>
      </c>
      <c r="M10" s="8">
        <v>1.76</v>
      </c>
      <c r="N10" s="20">
        <f t="shared" si="3"/>
        <v>6.1652889999999942</v>
      </c>
    </row>
    <row r="11" spans="1:14">
      <c r="A11" s="15" t="s">
        <v>82</v>
      </c>
      <c r="B11" s="15" t="s">
        <v>46</v>
      </c>
      <c r="C11" s="3" t="s">
        <v>18</v>
      </c>
      <c r="D11" s="3" t="s">
        <v>85</v>
      </c>
      <c r="E11" s="1" t="s">
        <v>91</v>
      </c>
      <c r="F11" s="20">
        <v>-6.8070000000000004</v>
      </c>
      <c r="G11" s="20">
        <v>0.33900000000000002</v>
      </c>
      <c r="H11" s="20">
        <v>-6.8540000000000001</v>
      </c>
      <c r="I11" s="20">
        <v>0.27700000000000002</v>
      </c>
      <c r="J11" s="20">
        <f t="shared" si="0"/>
        <v>4.6999999999999709E-2</v>
      </c>
      <c r="K11" s="20">
        <f t="shared" si="1"/>
        <v>0.4377784827969507</v>
      </c>
      <c r="L11" s="20">
        <f t="shared" si="2"/>
        <v>0.19165000000000007</v>
      </c>
      <c r="M11" s="8">
        <v>0.54</v>
      </c>
      <c r="N11" s="20">
        <f t="shared" si="3"/>
        <v>0.24304900000000032</v>
      </c>
    </row>
    <row r="12" spans="1:14">
      <c r="A12" s="15" t="s">
        <v>82</v>
      </c>
      <c r="B12" s="15" t="s">
        <v>46</v>
      </c>
      <c r="C12" s="3" t="s">
        <v>20</v>
      </c>
      <c r="D12" s="3" t="s">
        <v>53</v>
      </c>
      <c r="E12" s="1" t="s">
        <v>62</v>
      </c>
      <c r="F12" s="20">
        <v>46.38</v>
      </c>
      <c r="G12" s="20">
        <v>0.126</v>
      </c>
      <c r="H12" s="20">
        <v>45.868000000000002</v>
      </c>
      <c r="I12" s="20">
        <v>0.08</v>
      </c>
      <c r="J12" s="20">
        <f t="shared" si="0"/>
        <v>0.51200000000000045</v>
      </c>
      <c r="K12" s="20">
        <f t="shared" si="1"/>
        <v>0.14925146565444508</v>
      </c>
      <c r="L12" s="20">
        <f t="shared" si="2"/>
        <v>2.2276000000000001E-2</v>
      </c>
      <c r="M12" s="8">
        <v>-0.35</v>
      </c>
      <c r="N12" s="20">
        <f t="shared" si="3"/>
        <v>0.7430440000000007</v>
      </c>
    </row>
    <row r="13" spans="1:14">
      <c r="A13" s="15" t="s">
        <v>82</v>
      </c>
      <c r="B13" s="15" t="s">
        <v>46</v>
      </c>
      <c r="C13" s="3" t="s">
        <v>22</v>
      </c>
      <c r="D13" s="3" t="s">
        <v>54</v>
      </c>
      <c r="E13" s="1" t="s">
        <v>63</v>
      </c>
      <c r="F13" s="20">
        <v>-2.5150000000000001</v>
      </c>
      <c r="G13" s="20">
        <v>0.13100000000000001</v>
      </c>
      <c r="H13" s="20">
        <v>-2.371</v>
      </c>
      <c r="I13" s="20">
        <v>0.10299999999999999</v>
      </c>
      <c r="J13" s="20">
        <f t="shared" si="0"/>
        <v>-0.14400000000000013</v>
      </c>
      <c r="K13" s="20">
        <f t="shared" si="1"/>
        <v>0.1666433316997713</v>
      </c>
      <c r="L13" s="20">
        <f t="shared" si="2"/>
        <v>2.7770000000000003E-2</v>
      </c>
      <c r="M13" s="8">
        <v>0.52</v>
      </c>
      <c r="N13" s="20">
        <f t="shared" si="3"/>
        <v>0.44089600000000018</v>
      </c>
    </row>
    <row r="14" spans="1:14">
      <c r="A14" s="15" t="s">
        <v>82</v>
      </c>
      <c r="B14" s="15" t="s">
        <v>46</v>
      </c>
      <c r="C14" s="3" t="s">
        <v>23</v>
      </c>
      <c r="D14" s="3" t="s">
        <v>55</v>
      </c>
      <c r="E14" s="1" t="s">
        <v>64</v>
      </c>
      <c r="F14" s="20">
        <v>-4.2750000000000004</v>
      </c>
      <c r="G14" s="20">
        <v>0.29199999999999998</v>
      </c>
      <c r="H14" s="20">
        <v>-4.6749999999999998</v>
      </c>
      <c r="I14" s="20">
        <v>0.09</v>
      </c>
      <c r="J14" s="20">
        <f t="shared" si="0"/>
        <v>0.39999999999999947</v>
      </c>
      <c r="K14" s="20">
        <f t="shared" si="1"/>
        <v>0.30555523232306137</v>
      </c>
      <c r="L14" s="20">
        <f t="shared" si="2"/>
        <v>9.3364000000000003E-2</v>
      </c>
      <c r="M14" s="8">
        <v>1.08</v>
      </c>
      <c r="N14" s="20">
        <f t="shared" si="3"/>
        <v>0.46240000000000081</v>
      </c>
    </row>
    <row r="15" spans="1:14">
      <c r="A15" s="15" t="s">
        <v>101</v>
      </c>
      <c r="B15" s="15" t="s">
        <v>46</v>
      </c>
      <c r="C15" s="41" t="s">
        <v>24</v>
      </c>
      <c r="D15" s="8" t="s">
        <v>86</v>
      </c>
      <c r="E15" s="20" t="s">
        <v>92</v>
      </c>
      <c r="F15" s="20">
        <v>-8.8390000000000004</v>
      </c>
      <c r="G15" s="20">
        <v>0.2878906</v>
      </c>
      <c r="H15" s="20">
        <v>-9.1780000000000008</v>
      </c>
      <c r="I15" s="20">
        <v>0.22900000000000001</v>
      </c>
      <c r="J15" s="20">
        <f t="shared" si="0"/>
        <v>0.33900000000000041</v>
      </c>
      <c r="K15" s="20">
        <f>SQRT((G15)^2 + (I15)^2)</f>
        <v>0.36786138363296572</v>
      </c>
      <c r="L15" s="20">
        <f>K15^2</f>
        <v>0.13532199756835997</v>
      </c>
      <c r="M15" s="8">
        <v>1.42</v>
      </c>
      <c r="N15" s="20">
        <f>(J15-M15)^2</f>
        <v>1.1685609999999989</v>
      </c>
    </row>
    <row r="16" spans="1:14">
      <c r="A16" s="15" t="s">
        <v>82</v>
      </c>
      <c r="B16" s="15" t="s">
        <v>46</v>
      </c>
      <c r="C16" s="8" t="s">
        <v>27</v>
      </c>
      <c r="D16" s="9" t="s">
        <v>28</v>
      </c>
      <c r="E16" s="1" t="s">
        <v>65</v>
      </c>
      <c r="F16" s="20">
        <v>-8.1370000000000005</v>
      </c>
      <c r="G16" s="20">
        <v>0.107</v>
      </c>
      <c r="H16" s="20">
        <v>-8.5500000000000007</v>
      </c>
      <c r="I16" s="20">
        <v>9.1923879999999999E-2</v>
      </c>
      <c r="J16" s="20">
        <f t="shared" si="0"/>
        <v>0.41300000000000026</v>
      </c>
      <c r="K16" s="20">
        <f t="shared" ref="K16:K24" si="4">SQRT((G16)^2 + (I16)^2)</f>
        <v>0.14106381433328108</v>
      </c>
      <c r="L16" s="20">
        <f t="shared" ref="L16:L24" si="5">K16^2</f>
        <v>1.9898999714254396E-2</v>
      </c>
      <c r="M16" s="9">
        <v>-0.21</v>
      </c>
      <c r="N16" s="20">
        <f t="shared" ref="N16:N24" si="6">(J16-M16)^2</f>
        <v>0.38812900000000028</v>
      </c>
    </row>
    <row r="17" spans="1:14">
      <c r="A17" s="15" t="s">
        <v>82</v>
      </c>
      <c r="B17" s="15" t="s">
        <v>46</v>
      </c>
      <c r="C17" s="3" t="s">
        <v>25</v>
      </c>
      <c r="D17" s="3" t="s">
        <v>87</v>
      </c>
      <c r="E17" s="1" t="s">
        <v>93</v>
      </c>
      <c r="F17" s="20">
        <v>71.343999999999994</v>
      </c>
      <c r="G17" s="20">
        <v>0.19900000000000001</v>
      </c>
      <c r="H17" s="20">
        <v>69.974999999999994</v>
      </c>
      <c r="I17" s="20">
        <v>0.26800000000000002</v>
      </c>
      <c r="J17" s="20">
        <f t="shared" si="0"/>
        <v>1.3689999999999998</v>
      </c>
      <c r="K17" s="20">
        <f t="shared" si="4"/>
        <v>0.33380383460949042</v>
      </c>
      <c r="L17" s="20">
        <f t="shared" si="5"/>
        <v>0.11142500000000004</v>
      </c>
      <c r="M17" s="8">
        <v>1.1100000000000001</v>
      </c>
      <c r="N17" s="20">
        <f t="shared" si="6"/>
        <v>6.7080999999999835E-2</v>
      </c>
    </row>
    <row r="18" spans="1:14">
      <c r="A18" s="15" t="s">
        <v>101</v>
      </c>
      <c r="B18" s="15" t="s">
        <v>46</v>
      </c>
      <c r="C18" s="3" t="s">
        <v>26</v>
      </c>
      <c r="D18" s="3" t="s">
        <v>88</v>
      </c>
      <c r="E18" s="1" t="s">
        <v>94</v>
      </c>
      <c r="F18" s="20">
        <v>-35.639000000000003</v>
      </c>
      <c r="G18" s="20">
        <v>0.38500000000000001</v>
      </c>
      <c r="H18" s="20">
        <v>-40.424999999999997</v>
      </c>
      <c r="I18" s="20">
        <v>0.127</v>
      </c>
      <c r="J18" s="20">
        <f t="shared" si="0"/>
        <v>4.7859999999999943</v>
      </c>
      <c r="K18" s="20">
        <f t="shared" si="4"/>
        <v>0.4054059693689771</v>
      </c>
      <c r="L18" s="20">
        <f t="shared" si="5"/>
        <v>0.164354</v>
      </c>
      <c r="M18" s="8">
        <v>4.45</v>
      </c>
      <c r="N18" s="20">
        <f t="shared" si="6"/>
        <v>0.11289599999999603</v>
      </c>
    </row>
    <row r="19" spans="1:14">
      <c r="A19" s="15" t="s">
        <v>82</v>
      </c>
      <c r="B19" s="1" t="s">
        <v>70</v>
      </c>
      <c r="C19" s="3" t="s">
        <v>4</v>
      </c>
      <c r="D19" s="3" t="s">
        <v>71</v>
      </c>
      <c r="E19" s="1" t="s">
        <v>75</v>
      </c>
      <c r="F19" s="20">
        <v>46.597000000000001</v>
      </c>
      <c r="G19" s="20">
        <v>0.13800000000000001</v>
      </c>
      <c r="H19" s="20">
        <v>46.381</v>
      </c>
      <c r="I19" s="20">
        <v>7.5999999999999998E-2</v>
      </c>
      <c r="J19" s="20">
        <f t="shared" si="0"/>
        <v>0.21600000000000108</v>
      </c>
      <c r="K19" s="20">
        <f t="shared" si="4"/>
        <v>0.15754364474646385</v>
      </c>
      <c r="L19" s="20">
        <f t="shared" si="5"/>
        <v>2.4820000000000005E-2</v>
      </c>
      <c r="M19" s="8">
        <v>-0.24</v>
      </c>
      <c r="N19" s="20">
        <f t="shared" si="6"/>
        <v>0.20793600000000098</v>
      </c>
    </row>
    <row r="20" spans="1:14">
      <c r="A20" s="15" t="s">
        <v>101</v>
      </c>
      <c r="B20" s="20" t="s">
        <v>70</v>
      </c>
      <c r="C20" s="42" t="s">
        <v>6</v>
      </c>
      <c r="D20" s="8" t="s">
        <v>72</v>
      </c>
      <c r="E20" s="20" t="s">
        <v>76</v>
      </c>
      <c r="F20" s="20">
        <v>-8.9540000000000006</v>
      </c>
      <c r="G20" s="20">
        <v>3.8275320000000002E-2</v>
      </c>
      <c r="H20" s="20">
        <v>-8.4480000000000004</v>
      </c>
      <c r="I20" s="20">
        <v>0.115</v>
      </c>
      <c r="J20" s="20">
        <f t="shared" ref="J20:J22" si="7">(F20-H20)</f>
        <v>-0.50600000000000023</v>
      </c>
      <c r="K20" s="20">
        <f t="shared" si="4"/>
        <v>0.12120231070859334</v>
      </c>
      <c r="L20" s="20">
        <f t="shared" si="5"/>
        <v>1.4690000121102401E-2</v>
      </c>
      <c r="M20" s="8">
        <v>0.97</v>
      </c>
      <c r="N20" s="20">
        <f t="shared" si="6"/>
        <v>2.1785760000000005</v>
      </c>
    </row>
    <row r="21" spans="1:14">
      <c r="A21" s="15" t="s">
        <v>101</v>
      </c>
      <c r="B21" s="20" t="s">
        <v>70</v>
      </c>
      <c r="C21" s="42" t="s">
        <v>8</v>
      </c>
      <c r="D21" s="8" t="s">
        <v>73</v>
      </c>
      <c r="E21" s="20" t="s">
        <v>77</v>
      </c>
      <c r="F21" s="20">
        <v>-8.3580000000000005</v>
      </c>
      <c r="G21" s="20">
        <v>0.12831602</v>
      </c>
      <c r="H21" s="20">
        <v>-8.2289999999999992</v>
      </c>
      <c r="I21" s="20">
        <v>7.2999999999999995E-2</v>
      </c>
      <c r="J21" s="20">
        <f t="shared" si="7"/>
        <v>-0.12900000000000134</v>
      </c>
      <c r="K21" s="20">
        <f t="shared" si="4"/>
        <v>0.14762791398865052</v>
      </c>
      <c r="L21" s="20">
        <f t="shared" si="5"/>
        <v>2.1794000988640396E-2</v>
      </c>
      <c r="M21" s="8">
        <v>-0.15</v>
      </c>
      <c r="N21" s="20">
        <f t="shared" si="6"/>
        <v>4.4099999999994366E-4</v>
      </c>
    </row>
    <row r="22" spans="1:14">
      <c r="A22" s="15" t="s">
        <v>101</v>
      </c>
      <c r="B22" s="20" t="s">
        <v>70</v>
      </c>
      <c r="C22" s="42" t="s">
        <v>10</v>
      </c>
      <c r="D22" s="8" t="s">
        <v>103</v>
      </c>
      <c r="E22" s="20" t="s">
        <v>105</v>
      </c>
      <c r="F22" s="20">
        <v>-6.2750000000000004</v>
      </c>
      <c r="G22" s="20">
        <v>0.26986293</v>
      </c>
      <c r="H22" s="20">
        <v>-7.9630000000000001</v>
      </c>
      <c r="I22" s="20">
        <v>9.6000000000000002E-2</v>
      </c>
      <c r="J22" s="20">
        <f t="shared" si="7"/>
        <v>1.6879999999999997</v>
      </c>
      <c r="K22" s="20">
        <f t="shared" si="4"/>
        <v>0.28642974878351046</v>
      </c>
      <c r="L22" s="20">
        <f t="shared" si="5"/>
        <v>8.2042000988184913E-2</v>
      </c>
      <c r="M22" s="8">
        <v>2.0099999999999998</v>
      </c>
      <c r="N22" s="20">
        <f t="shared" si="6"/>
        <v>0.10368400000000004</v>
      </c>
    </row>
    <row r="23" spans="1:14">
      <c r="A23" s="15" t="s">
        <v>82</v>
      </c>
      <c r="B23" s="1" t="s">
        <v>70</v>
      </c>
      <c r="C23" s="3" t="s">
        <v>12</v>
      </c>
      <c r="D23" s="3" t="s">
        <v>104</v>
      </c>
      <c r="E23" s="1" t="s">
        <v>106</v>
      </c>
      <c r="F23" s="20">
        <v>-23.72</v>
      </c>
      <c r="G23" s="20">
        <v>0.11700000000000001</v>
      </c>
      <c r="H23" s="20">
        <v>-23.588999999999999</v>
      </c>
      <c r="I23" s="20">
        <v>0.14099999999999999</v>
      </c>
      <c r="J23" s="20">
        <f t="shared" ref="J23:J24" si="8">F23-H23</f>
        <v>-0.13100000000000023</v>
      </c>
      <c r="K23" s="20">
        <f t="shared" si="4"/>
        <v>0.18322117781522965</v>
      </c>
      <c r="L23" s="20">
        <f t="shared" si="5"/>
        <v>3.3570000000000003E-2</v>
      </c>
      <c r="M23" s="8">
        <v>0.85</v>
      </c>
      <c r="N23" s="20">
        <f t="shared" si="6"/>
        <v>0.96236100000000036</v>
      </c>
    </row>
    <row r="24" spans="1:14">
      <c r="A24" s="15" t="s">
        <v>82</v>
      </c>
      <c r="B24" s="1" t="s">
        <v>70</v>
      </c>
      <c r="C24" s="3" t="s">
        <v>14</v>
      </c>
      <c r="D24" s="3" t="s">
        <v>74</v>
      </c>
      <c r="E24" s="1" t="s">
        <v>78</v>
      </c>
      <c r="F24" s="20">
        <v>-11.115</v>
      </c>
      <c r="G24" s="20">
        <v>0.28299999999999997</v>
      </c>
      <c r="H24" s="20">
        <v>-10.105</v>
      </c>
      <c r="I24" s="20">
        <v>0.123</v>
      </c>
      <c r="J24" s="20">
        <f t="shared" si="8"/>
        <v>-1.0099999999999998</v>
      </c>
      <c r="K24" s="20">
        <f t="shared" si="4"/>
        <v>0.30857414019972573</v>
      </c>
      <c r="L24" s="20">
        <f t="shared" si="5"/>
        <v>9.5217999999999997E-2</v>
      </c>
      <c r="M24" s="8">
        <v>-0.78</v>
      </c>
      <c r="N24" s="20">
        <f t="shared" si="6"/>
        <v>5.2899999999999892E-2</v>
      </c>
    </row>
    <row r="25" spans="1:14">
      <c r="A25" s="26" t="s">
        <v>101</v>
      </c>
      <c r="B25" s="26" t="s">
        <v>46</v>
      </c>
      <c r="C25" s="25" t="s">
        <v>9</v>
      </c>
      <c r="D25" s="3" t="s">
        <v>83</v>
      </c>
      <c r="E25" s="1" t="s">
        <v>89</v>
      </c>
      <c r="F25">
        <v>-32.840000000000003</v>
      </c>
      <c r="G25">
        <v>0.185</v>
      </c>
      <c r="H25" s="20">
        <v>-37.600999999999999</v>
      </c>
      <c r="I25" s="20">
        <v>0.17</v>
      </c>
      <c r="J25" s="11">
        <f>F25-H25</f>
        <v>4.7609999999999957</v>
      </c>
      <c r="K25" s="11">
        <f>SQRT((G25)^2 + (I25)^2)</f>
        <v>0.25124689052802224</v>
      </c>
      <c r="L25" s="11">
        <f>K25^2</f>
        <v>6.3124999999999987E-2</v>
      </c>
      <c r="M25" s="9">
        <v>1.48</v>
      </c>
      <c r="N25" s="20">
        <f>(J25-M25)^2</f>
        <v>10.764960999999971</v>
      </c>
    </row>
    <row r="26" spans="1:14">
      <c r="A26" s="26" t="s">
        <v>101</v>
      </c>
      <c r="B26" s="26" t="s">
        <v>46</v>
      </c>
      <c r="C26" s="16" t="s">
        <v>11</v>
      </c>
      <c r="D26" s="3" t="s">
        <v>84</v>
      </c>
      <c r="E26" s="1" t="s">
        <v>90</v>
      </c>
      <c r="F26" s="20">
        <v>-40.853999999999999</v>
      </c>
      <c r="G26" s="20">
        <v>0.308</v>
      </c>
      <c r="H26" s="20">
        <v>-42.293999999999997</v>
      </c>
      <c r="I26" s="20">
        <v>9.8000000000000004E-2</v>
      </c>
      <c r="J26" s="20">
        <f t="shared" ref="J26:J37" si="9">F26-H26</f>
        <v>1.4399999999999977</v>
      </c>
      <c r="K26" s="20">
        <f t="shared" ref="K26:K37" si="10">SQRT((G26)^2 + (I26)^2)</f>
        <v>0.32321509865722547</v>
      </c>
      <c r="L26" s="20">
        <f t="shared" ref="L26:L37" si="11">K26^2</f>
        <v>0.10446799999999999</v>
      </c>
      <c r="M26" s="9">
        <v>1.33</v>
      </c>
      <c r="N26" s="20">
        <f t="shared" ref="N26:N37" si="12">(J26-M26)^2</f>
        <v>1.2099999999999484E-2</v>
      </c>
    </row>
    <row r="27" spans="1:14">
      <c r="A27" s="26" t="s">
        <v>82</v>
      </c>
      <c r="B27" s="26" t="s">
        <v>46</v>
      </c>
      <c r="C27" s="16" t="s">
        <v>121</v>
      </c>
      <c r="D27" s="3" t="s">
        <v>122</v>
      </c>
      <c r="E27" s="1" t="s">
        <v>140</v>
      </c>
      <c r="F27" s="20">
        <v>5.5069999999999997</v>
      </c>
      <c r="G27" s="20">
        <v>0.38500000000000001</v>
      </c>
      <c r="H27" s="20">
        <v>6.383</v>
      </c>
      <c r="I27" s="20">
        <v>0.16400000000000001</v>
      </c>
      <c r="J27" s="20">
        <f t="shared" si="9"/>
        <v>-0.87600000000000033</v>
      </c>
      <c r="K27" s="20">
        <f t="shared" si="10"/>
        <v>0.41847461093834593</v>
      </c>
      <c r="L27" s="20">
        <f t="shared" si="11"/>
        <v>0.175121</v>
      </c>
      <c r="M27" s="9">
        <v>0.05</v>
      </c>
      <c r="N27" s="20">
        <f t="shared" si="12"/>
        <v>0.85747600000000068</v>
      </c>
    </row>
    <row r="28" spans="1:14">
      <c r="A28" s="26" t="s">
        <v>101</v>
      </c>
      <c r="B28" s="26" t="s">
        <v>46</v>
      </c>
      <c r="C28" s="16" t="s">
        <v>124</v>
      </c>
      <c r="D28" s="3" t="s">
        <v>125</v>
      </c>
      <c r="E28" s="1" t="s">
        <v>58</v>
      </c>
      <c r="F28" s="20">
        <v>-39.872999999999998</v>
      </c>
      <c r="G28" s="20">
        <v>0.33900000000000002</v>
      </c>
      <c r="H28" s="20">
        <v>-42.363</v>
      </c>
      <c r="I28" s="20">
        <v>4.7E-2</v>
      </c>
      <c r="J28" s="20">
        <f t="shared" si="9"/>
        <v>2.490000000000002</v>
      </c>
      <c r="K28" s="20">
        <f t="shared" si="10"/>
        <v>0.34224260401066375</v>
      </c>
      <c r="L28" s="20">
        <f t="shared" si="11"/>
        <v>0.11713</v>
      </c>
      <c r="M28" s="9">
        <v>0.76</v>
      </c>
      <c r="N28" s="20">
        <f t="shared" si="12"/>
        <v>2.9929000000000068</v>
      </c>
    </row>
    <row r="29" spans="1:14">
      <c r="A29" s="26" t="s">
        <v>82</v>
      </c>
      <c r="B29" s="26" t="s">
        <v>46</v>
      </c>
      <c r="C29" s="16" t="s">
        <v>126</v>
      </c>
      <c r="D29" s="3" t="s">
        <v>50</v>
      </c>
      <c r="E29" s="1" t="s">
        <v>59</v>
      </c>
      <c r="F29" s="20">
        <v>15.722</v>
      </c>
      <c r="G29" s="20">
        <v>0.17100000000000001</v>
      </c>
      <c r="H29" s="20">
        <v>13.2</v>
      </c>
      <c r="I29" s="20">
        <v>0.107</v>
      </c>
      <c r="J29" s="20">
        <f t="shared" si="9"/>
        <v>2.5220000000000002</v>
      </c>
      <c r="K29" s="20">
        <f t="shared" si="10"/>
        <v>0.20171762441591465</v>
      </c>
      <c r="L29" s="20">
        <f t="shared" si="11"/>
        <v>4.0690000000000004E-2</v>
      </c>
      <c r="M29" s="9">
        <v>0.35</v>
      </c>
      <c r="N29" s="20">
        <f t="shared" si="12"/>
        <v>4.7175840000000004</v>
      </c>
    </row>
    <row r="30" spans="1:14">
      <c r="A30" s="26" t="s">
        <v>82</v>
      </c>
      <c r="B30" s="26" t="s">
        <v>46</v>
      </c>
      <c r="C30" s="16" t="s">
        <v>127</v>
      </c>
      <c r="D30" s="3" t="s">
        <v>51</v>
      </c>
      <c r="E30" s="1" t="s">
        <v>60</v>
      </c>
      <c r="F30" s="20">
        <v>-5.3150000000000004</v>
      </c>
      <c r="G30" s="20">
        <v>0.23</v>
      </c>
      <c r="H30" s="20">
        <v>-5.7530000000000001</v>
      </c>
      <c r="I30" s="20">
        <v>7.6999999999999999E-2</v>
      </c>
      <c r="J30" s="20">
        <f t="shared" si="9"/>
        <v>0.43799999999999972</v>
      </c>
      <c r="K30" s="20">
        <f t="shared" si="10"/>
        <v>0.24254690268069803</v>
      </c>
      <c r="L30" s="20">
        <f t="shared" si="11"/>
        <v>5.8829000000000006E-2</v>
      </c>
      <c r="M30" s="9">
        <v>1.25</v>
      </c>
      <c r="N30" s="20">
        <f t="shared" si="12"/>
        <v>0.65934400000000049</v>
      </c>
    </row>
    <row r="31" spans="1:14">
      <c r="A31" s="26" t="s">
        <v>82</v>
      </c>
      <c r="B31" s="26" t="s">
        <v>46</v>
      </c>
      <c r="C31" s="16" t="s">
        <v>128</v>
      </c>
      <c r="D31" s="3" t="s">
        <v>129</v>
      </c>
      <c r="E31" s="1" t="s">
        <v>61</v>
      </c>
      <c r="F31" s="20">
        <v>-5.4610000000000003</v>
      </c>
      <c r="G31" s="20">
        <v>6.9000000000000006E-2</v>
      </c>
      <c r="H31" s="20">
        <v>-6.91</v>
      </c>
      <c r="I31" s="20">
        <v>4.4999999999999998E-2</v>
      </c>
      <c r="J31" s="20">
        <f t="shared" si="9"/>
        <v>1.4489999999999998</v>
      </c>
      <c r="K31" s="20">
        <f t="shared" si="10"/>
        <v>8.2377181306475894E-2</v>
      </c>
      <c r="L31" s="20">
        <f t="shared" si="11"/>
        <v>6.7860000000000012E-3</v>
      </c>
      <c r="M31" s="9">
        <v>1.1499999999999999</v>
      </c>
      <c r="N31" s="20">
        <f t="shared" si="12"/>
        <v>8.9400999999999953E-2</v>
      </c>
    </row>
    <row r="32" spans="1:14">
      <c r="A32" s="26" t="s">
        <v>82</v>
      </c>
      <c r="B32" s="26" t="s">
        <v>46</v>
      </c>
      <c r="C32" s="16" t="s">
        <v>130</v>
      </c>
      <c r="D32" s="3" t="s">
        <v>85</v>
      </c>
      <c r="E32" s="1" t="s">
        <v>91</v>
      </c>
      <c r="F32" s="20">
        <v>-5.7610000000000001</v>
      </c>
      <c r="G32" s="20">
        <v>0.127</v>
      </c>
      <c r="H32" s="20">
        <v>-5.8780000000000001</v>
      </c>
      <c r="I32" s="20">
        <v>0.34499999999999997</v>
      </c>
      <c r="J32" s="20">
        <f t="shared" si="9"/>
        <v>0.11699999999999999</v>
      </c>
      <c r="K32" s="20">
        <f t="shared" si="10"/>
        <v>0.36763296914177862</v>
      </c>
      <c r="L32" s="20">
        <f t="shared" si="11"/>
        <v>0.13515399999999994</v>
      </c>
      <c r="M32" s="9">
        <v>0.86</v>
      </c>
      <c r="N32" s="20">
        <f t="shared" si="12"/>
        <v>0.55204900000000001</v>
      </c>
    </row>
    <row r="33" spans="1:14">
      <c r="A33" s="26" t="s">
        <v>82</v>
      </c>
      <c r="B33" s="26" t="s">
        <v>46</v>
      </c>
      <c r="C33" s="16" t="s">
        <v>131</v>
      </c>
      <c r="D33" s="3" t="s">
        <v>132</v>
      </c>
      <c r="E33" s="1" t="s">
        <v>141</v>
      </c>
      <c r="F33" s="20">
        <v>47.466999999999999</v>
      </c>
      <c r="G33" s="20">
        <v>9.4E-2</v>
      </c>
      <c r="H33" s="20">
        <v>46.307000000000002</v>
      </c>
      <c r="I33" s="20">
        <v>4.3999999999999997E-2</v>
      </c>
      <c r="J33" s="20">
        <f t="shared" si="9"/>
        <v>1.1599999999999966</v>
      </c>
      <c r="K33" s="20">
        <f t="shared" si="10"/>
        <v>0.10378824596263297</v>
      </c>
      <c r="L33" s="20">
        <f t="shared" si="11"/>
        <v>1.0772E-2</v>
      </c>
      <c r="M33" s="9">
        <v>1.1100000000000001</v>
      </c>
      <c r="N33" s="20">
        <f t="shared" si="12"/>
        <v>2.4999999999996492E-3</v>
      </c>
    </row>
    <row r="34" spans="1:14">
      <c r="A34" s="26" t="s">
        <v>82</v>
      </c>
      <c r="B34" s="26" t="s">
        <v>46</v>
      </c>
      <c r="C34" s="16" t="s">
        <v>133</v>
      </c>
      <c r="D34" s="3" t="s">
        <v>53</v>
      </c>
      <c r="E34" s="1" t="s">
        <v>62</v>
      </c>
      <c r="F34" s="20">
        <v>46.466999999999999</v>
      </c>
      <c r="G34" s="20">
        <v>0.20399999999999999</v>
      </c>
      <c r="H34" s="20">
        <v>45.91</v>
      </c>
      <c r="I34" s="20">
        <v>4.7E-2</v>
      </c>
      <c r="J34" s="20">
        <f t="shared" si="9"/>
        <v>0.55700000000000216</v>
      </c>
      <c r="K34" s="20">
        <f t="shared" si="10"/>
        <v>0.20934421415458321</v>
      </c>
      <c r="L34" s="20">
        <f t="shared" si="11"/>
        <v>4.3824999999999996E-2</v>
      </c>
      <c r="M34" s="9">
        <v>0.55000000000000004</v>
      </c>
      <c r="N34" s="20">
        <f t="shared" si="12"/>
        <v>4.9000000000029617E-5</v>
      </c>
    </row>
    <row r="35" spans="1:14">
      <c r="A35" s="26" t="s">
        <v>82</v>
      </c>
      <c r="B35" s="26" t="s">
        <v>46</v>
      </c>
      <c r="C35" s="16" t="s">
        <v>134</v>
      </c>
      <c r="D35" s="3" t="s">
        <v>135</v>
      </c>
      <c r="E35" s="1" t="s">
        <v>142</v>
      </c>
      <c r="F35" s="20">
        <v>46.451000000000001</v>
      </c>
      <c r="G35" s="20">
        <v>5.8999999999999997E-2</v>
      </c>
      <c r="H35" s="20">
        <v>46.646999999999998</v>
      </c>
      <c r="I35" s="20">
        <v>3.5000000000000003E-2</v>
      </c>
      <c r="J35" s="20">
        <f t="shared" si="9"/>
        <v>-0.19599999999999795</v>
      </c>
      <c r="K35" s="20">
        <f t="shared" si="10"/>
        <v>6.860029154456998E-2</v>
      </c>
      <c r="L35" s="20">
        <f t="shared" si="11"/>
        <v>4.7059999999999992E-3</v>
      </c>
      <c r="M35" s="9">
        <v>0.09</v>
      </c>
      <c r="N35" s="20">
        <f t="shared" si="12"/>
        <v>8.1795999999998814E-2</v>
      </c>
    </row>
    <row r="36" spans="1:14">
      <c r="A36" s="26" t="s">
        <v>82</v>
      </c>
      <c r="B36" s="26" t="s">
        <v>46</v>
      </c>
      <c r="C36" s="16" t="s">
        <v>136</v>
      </c>
      <c r="D36" s="3" t="s">
        <v>137</v>
      </c>
      <c r="E36" s="1" t="s">
        <v>143</v>
      </c>
      <c r="F36" s="20">
        <v>-8.4580000000000002</v>
      </c>
      <c r="G36" s="20">
        <v>0.1</v>
      </c>
      <c r="H36" s="20">
        <v>-8.6940000000000008</v>
      </c>
      <c r="I36" s="20">
        <v>0.13100000000000001</v>
      </c>
      <c r="J36" s="20">
        <f t="shared" si="9"/>
        <v>0.23600000000000065</v>
      </c>
      <c r="K36" s="20">
        <f t="shared" si="10"/>
        <v>0.1648059464946578</v>
      </c>
      <c r="L36" s="20">
        <f t="shared" si="11"/>
        <v>2.7161000000000008E-2</v>
      </c>
      <c r="M36" s="9">
        <v>0.83</v>
      </c>
      <c r="N36" s="20">
        <f t="shared" si="12"/>
        <v>0.35283599999999915</v>
      </c>
    </row>
    <row r="37" spans="1:14">
      <c r="A37" s="26" t="s">
        <v>101</v>
      </c>
      <c r="B37" s="26" t="s">
        <v>46</v>
      </c>
      <c r="C37" s="25" t="s">
        <v>138</v>
      </c>
      <c r="D37" s="3" t="s">
        <v>139</v>
      </c>
      <c r="E37" s="1" t="s">
        <v>144</v>
      </c>
      <c r="F37">
        <v>-22.283000000000001</v>
      </c>
      <c r="G37">
        <v>0.33400000000000002</v>
      </c>
      <c r="H37" s="20">
        <v>-22.344999999999999</v>
      </c>
      <c r="I37" s="20">
        <v>0.19</v>
      </c>
      <c r="J37" s="11">
        <f t="shared" si="9"/>
        <v>6.1999999999997613E-2</v>
      </c>
      <c r="K37" s="11">
        <f t="shared" si="10"/>
        <v>0.38426032842332292</v>
      </c>
      <c r="L37" s="11">
        <f t="shared" si="11"/>
        <v>0.14765599999999998</v>
      </c>
      <c r="M37" s="9">
        <v>1.07</v>
      </c>
      <c r="N37" s="20">
        <f t="shared" si="12"/>
        <v>1.016064000000005</v>
      </c>
    </row>
    <row r="38" spans="1:14">
      <c r="A38" s="15" t="s">
        <v>82</v>
      </c>
      <c r="B38" s="1" t="s">
        <v>70</v>
      </c>
      <c r="C38" s="16" t="s">
        <v>4</v>
      </c>
      <c r="D38" s="16" t="s">
        <v>145</v>
      </c>
      <c r="E38" s="1" t="s">
        <v>149</v>
      </c>
      <c r="F38" s="1">
        <v>46.143999999999998</v>
      </c>
      <c r="G38" s="1">
        <v>6.0999999999999999E-2</v>
      </c>
      <c r="H38" s="20">
        <v>46.198999999999998</v>
      </c>
      <c r="I38" s="20">
        <v>0.114</v>
      </c>
      <c r="J38" s="20">
        <f>F38-H38</f>
        <v>-5.4999999999999716E-2</v>
      </c>
      <c r="K38" s="20">
        <f>SQRT((G38)^2 + (I38)^2)</f>
        <v>0.12929423807734047</v>
      </c>
      <c r="L38" s="20">
        <f>K38^2</f>
        <v>1.6716999999999999E-2</v>
      </c>
      <c r="M38" s="9">
        <v>-0.22</v>
      </c>
      <c r="N38" s="20">
        <f>(J38-M38)^2</f>
        <v>2.7225000000000093E-2</v>
      </c>
    </row>
    <row r="39" spans="1:14">
      <c r="A39" s="15" t="s">
        <v>82</v>
      </c>
      <c r="B39" s="1" t="s">
        <v>70</v>
      </c>
      <c r="C39" s="16" t="s">
        <v>119</v>
      </c>
      <c r="D39" s="16" t="s">
        <v>146</v>
      </c>
      <c r="E39" s="1" t="s">
        <v>150</v>
      </c>
      <c r="F39" s="1">
        <v>68.542000000000002</v>
      </c>
      <c r="G39" s="1">
        <v>5.6000000000000001E-2</v>
      </c>
      <c r="H39" s="20">
        <v>68.394000000000005</v>
      </c>
      <c r="I39" s="20">
        <v>9.2999999999999999E-2</v>
      </c>
      <c r="J39" s="20">
        <f>F39-H39</f>
        <v>0.14799999999999613</v>
      </c>
      <c r="K39" s="20">
        <f>SQRT((G39)^2 + (I39)^2)</f>
        <v>0.10855873986004075</v>
      </c>
      <c r="L39" s="20">
        <f>K39^2</f>
        <v>1.1785E-2</v>
      </c>
      <c r="M39" s="9">
        <v>0.2</v>
      </c>
      <c r="N39" s="20">
        <f>(J39-M39)^2</f>
        <v>2.7040000000004031E-3</v>
      </c>
    </row>
    <row r="40" spans="1:14">
      <c r="A40" s="15" t="s">
        <v>101</v>
      </c>
      <c r="B40" s="1" t="s">
        <v>70</v>
      </c>
      <c r="C40" s="25" t="s">
        <v>120</v>
      </c>
      <c r="D40" s="16" t="s">
        <v>147</v>
      </c>
      <c r="E40" s="1" t="s">
        <v>151</v>
      </c>
      <c r="F40">
        <v>-23.221</v>
      </c>
      <c r="G40">
        <v>0.124</v>
      </c>
      <c r="H40" s="20">
        <v>-24.692</v>
      </c>
      <c r="I40" s="20">
        <v>6.7000000000000004E-2</v>
      </c>
      <c r="J40" s="11">
        <f t="shared" ref="J40:J41" si="13">F40-H40</f>
        <v>1.4710000000000001</v>
      </c>
      <c r="K40" s="11">
        <f t="shared" ref="K40:K41" si="14">SQRT((G40)^2 + (I40)^2)</f>
        <v>0.14094325099131211</v>
      </c>
      <c r="L40" s="11">
        <f t="shared" ref="L40:L41" si="15">K40^2</f>
        <v>1.9865000000000001E-2</v>
      </c>
      <c r="M40" s="9">
        <v>-0.87</v>
      </c>
      <c r="N40" s="20">
        <f t="shared" ref="N40:N41" si="16">(J40-M40)^2</f>
        <v>5.4802810000000006</v>
      </c>
    </row>
    <row r="41" spans="1:14">
      <c r="A41" s="15" t="s">
        <v>101</v>
      </c>
      <c r="B41" s="1" t="s">
        <v>70</v>
      </c>
      <c r="C41" s="25" t="s">
        <v>123</v>
      </c>
      <c r="D41" s="24" t="s">
        <v>148</v>
      </c>
      <c r="E41" s="1" t="s">
        <v>152</v>
      </c>
      <c r="F41">
        <v>-23.776</v>
      </c>
      <c r="G41">
        <v>0.28499999999999998</v>
      </c>
      <c r="H41" s="20">
        <v>-24.713999999999999</v>
      </c>
      <c r="I41" s="20">
        <v>0.24</v>
      </c>
      <c r="J41" s="11">
        <f t="shared" si="13"/>
        <v>0.93799999999999883</v>
      </c>
      <c r="K41" s="11">
        <f t="shared" si="14"/>
        <v>0.37259227045122656</v>
      </c>
      <c r="L41" s="11">
        <f t="shared" si="15"/>
        <v>0.13882499999999995</v>
      </c>
      <c r="M41" s="9">
        <v>0.83</v>
      </c>
      <c r="N41" s="20">
        <f t="shared" si="16"/>
        <v>1.1663999999999756E-2</v>
      </c>
    </row>
    <row r="42" spans="1:14">
      <c r="A42" s="26" t="s">
        <v>82</v>
      </c>
      <c r="B42" s="26" t="s">
        <v>46</v>
      </c>
      <c r="C42" s="3" t="s">
        <v>162</v>
      </c>
      <c r="D42" s="3" t="s">
        <v>199</v>
      </c>
      <c r="E42" s="1" t="s">
        <v>202</v>
      </c>
      <c r="F42" s="20">
        <v>4.7489999999999997</v>
      </c>
      <c r="G42" s="20">
        <v>0.39800000000000002</v>
      </c>
      <c r="H42" s="20">
        <v>2.6240000000000001</v>
      </c>
      <c r="I42" s="20">
        <v>0.248</v>
      </c>
      <c r="J42" s="20">
        <f>F42-H42</f>
        <v>2.1249999999999996</v>
      </c>
      <c r="K42" s="20">
        <f>SQRT((G42)^2 + (I42)^2)</f>
        <v>0.46894349339765873</v>
      </c>
      <c r="L42" s="20">
        <f>K42^2</f>
        <v>0.21990799999999999</v>
      </c>
      <c r="M42" s="8">
        <v>0.56999999999999995</v>
      </c>
      <c r="N42" s="20">
        <f>(J42-M42)^2</f>
        <v>2.4180249999999992</v>
      </c>
    </row>
    <row r="43" spans="1:14">
      <c r="A43" s="1" t="s">
        <v>101</v>
      </c>
      <c r="B43" s="26" t="s">
        <v>46</v>
      </c>
      <c r="C43" s="6" t="s">
        <v>9</v>
      </c>
      <c r="D43" s="3" t="s">
        <v>200</v>
      </c>
      <c r="E43" s="1" t="s">
        <v>203</v>
      </c>
      <c r="F43" s="20">
        <v>-38.72</v>
      </c>
      <c r="G43" s="20">
        <v>0.44657474000000003</v>
      </c>
      <c r="H43" s="20">
        <v>-40.954999999999998</v>
      </c>
      <c r="I43" s="20">
        <v>0.219</v>
      </c>
      <c r="J43" s="20">
        <f>(F43-H43)</f>
        <v>2.2349999999999994</v>
      </c>
      <c r="K43" s="20">
        <f>SQRT((G43)^2 + (I43)^2)</f>
        <v>0.49738315050478704</v>
      </c>
      <c r="L43" s="20">
        <f>K43^2</f>
        <v>0.24738999840606765</v>
      </c>
      <c r="M43" s="8">
        <v>1.07</v>
      </c>
      <c r="N43" s="20">
        <f>(J43-M43)^2</f>
        <v>1.3572249999999986</v>
      </c>
    </row>
    <row r="44" spans="1:14">
      <c r="A44" s="1" t="s">
        <v>101</v>
      </c>
      <c r="B44" s="26" t="s">
        <v>46</v>
      </c>
      <c r="C44" s="6" t="s">
        <v>11</v>
      </c>
      <c r="D44" s="3" t="s">
        <v>176</v>
      </c>
      <c r="E44" s="1" t="s">
        <v>186</v>
      </c>
      <c r="F44" s="20">
        <v>-41.609000000000002</v>
      </c>
      <c r="G44" s="20">
        <v>0.37</v>
      </c>
      <c r="H44" s="20">
        <v>-43.83</v>
      </c>
      <c r="I44" s="20">
        <v>0.17</v>
      </c>
      <c r="J44" s="20">
        <f t="shared" ref="J44" si="17">(F44-H44)</f>
        <v>2.2209999999999965</v>
      </c>
      <c r="K44" s="20">
        <f t="shared" ref="K44:K55" si="18">SQRT((G44)^2 + (I44)^2)</f>
        <v>0.40718546143004664</v>
      </c>
      <c r="L44" s="20">
        <f t="shared" ref="L44:L55" si="19">K44^2</f>
        <v>0.1658</v>
      </c>
      <c r="M44" s="8">
        <v>1.53</v>
      </c>
      <c r="N44" s="20">
        <f t="shared" ref="N44:N55" si="20">(J44-M44)^2</f>
        <v>0.47748099999999516</v>
      </c>
    </row>
    <row r="45" spans="1:14">
      <c r="A45" s="26" t="s">
        <v>82</v>
      </c>
      <c r="B45" s="26" t="s">
        <v>46</v>
      </c>
      <c r="C45" s="3" t="s">
        <v>166</v>
      </c>
      <c r="D45" s="3" t="s">
        <v>125</v>
      </c>
      <c r="E45" s="1" t="s">
        <v>204</v>
      </c>
      <c r="F45" s="20">
        <v>-4.3090000000000002</v>
      </c>
      <c r="G45" s="20">
        <v>0.23400000000000001</v>
      </c>
      <c r="H45" s="20">
        <v>-4.2960000000000003</v>
      </c>
      <c r="I45" s="20">
        <v>4.8000000000000001E-2</v>
      </c>
      <c r="J45" s="20">
        <f t="shared" ref="J45:J52" si="21">F45-H45</f>
        <v>-1.2999999999999901E-2</v>
      </c>
      <c r="K45" s="20">
        <f t="shared" si="18"/>
        <v>0.23887235084873262</v>
      </c>
      <c r="L45" s="20">
        <f t="shared" si="19"/>
        <v>5.7060000000000013E-2</v>
      </c>
      <c r="M45" s="8">
        <v>-0.82</v>
      </c>
      <c r="N45" s="20">
        <f t="shared" si="20"/>
        <v>0.65124900000000008</v>
      </c>
    </row>
    <row r="46" spans="1:14">
      <c r="A46" s="26" t="s">
        <v>82</v>
      </c>
      <c r="B46" s="26" t="s">
        <v>46</v>
      </c>
      <c r="C46" s="3" t="s">
        <v>167</v>
      </c>
      <c r="D46" s="3" t="s">
        <v>178</v>
      </c>
      <c r="E46" s="1" t="s">
        <v>59</v>
      </c>
      <c r="F46" s="20">
        <v>12.282999999999999</v>
      </c>
      <c r="G46" s="20">
        <v>0.18</v>
      </c>
      <c r="H46" s="20">
        <v>12.984999999999999</v>
      </c>
      <c r="I46" s="20">
        <v>3.4000000000000002E-2</v>
      </c>
      <c r="J46" s="20">
        <f t="shared" si="21"/>
        <v>-0.70199999999999996</v>
      </c>
      <c r="K46" s="20">
        <f t="shared" si="18"/>
        <v>0.18318296864064626</v>
      </c>
      <c r="L46" s="20">
        <f t="shared" si="19"/>
        <v>3.3555999999999989E-2</v>
      </c>
      <c r="M46" s="8">
        <v>-0.85</v>
      </c>
      <c r="N46" s="20">
        <f t="shared" si="20"/>
        <v>2.1904000000000007E-2</v>
      </c>
    </row>
    <row r="47" spans="1:14">
      <c r="A47" s="26" t="s">
        <v>82</v>
      </c>
      <c r="B47" s="26" t="s">
        <v>46</v>
      </c>
      <c r="C47" s="3" t="s">
        <v>13</v>
      </c>
      <c r="D47" s="3" t="s">
        <v>179</v>
      </c>
      <c r="E47" s="1" t="s">
        <v>187</v>
      </c>
      <c r="F47" s="20">
        <v>16.119</v>
      </c>
      <c r="G47" s="20">
        <v>0.214</v>
      </c>
      <c r="H47" s="20">
        <v>13.843</v>
      </c>
      <c r="I47" s="20">
        <v>9.2999999999999999E-2</v>
      </c>
      <c r="J47" s="20">
        <f t="shared" si="21"/>
        <v>2.2759999999999998</v>
      </c>
      <c r="K47" s="20">
        <f t="shared" si="18"/>
        <v>0.23333452380648689</v>
      </c>
      <c r="L47" s="20">
        <f t="shared" si="19"/>
        <v>5.4445E-2</v>
      </c>
      <c r="M47" s="8">
        <v>0.46</v>
      </c>
      <c r="N47" s="20">
        <f t="shared" si="20"/>
        <v>3.2978559999999995</v>
      </c>
    </row>
    <row r="48" spans="1:14">
      <c r="A48" s="26" t="s">
        <v>82</v>
      </c>
      <c r="B48" s="26" t="s">
        <v>46</v>
      </c>
      <c r="C48" s="3" t="s">
        <v>168</v>
      </c>
      <c r="D48" s="3" t="s">
        <v>180</v>
      </c>
      <c r="E48" s="1" t="s">
        <v>61</v>
      </c>
      <c r="F48" s="20">
        <v>-4.7889999999999997</v>
      </c>
      <c r="G48" s="20">
        <v>9.2999999999999999E-2</v>
      </c>
      <c r="H48" s="20">
        <v>-4.9820000000000002</v>
      </c>
      <c r="I48" s="20">
        <v>1.9E-2</v>
      </c>
      <c r="J48" s="20">
        <f t="shared" si="21"/>
        <v>0.1930000000000005</v>
      </c>
      <c r="K48" s="20">
        <f t="shared" si="18"/>
        <v>9.4921019800674286E-2</v>
      </c>
      <c r="L48" s="20">
        <f t="shared" si="19"/>
        <v>9.0100000000000006E-3</v>
      </c>
      <c r="M48" s="8">
        <v>0.99</v>
      </c>
      <c r="N48" s="20">
        <f t="shared" si="20"/>
        <v>0.63520899999999914</v>
      </c>
    </row>
    <row r="49" spans="1:14">
      <c r="A49" s="26" t="s">
        <v>82</v>
      </c>
      <c r="B49" s="26" t="s">
        <v>46</v>
      </c>
      <c r="C49" s="3" t="s">
        <v>169</v>
      </c>
      <c r="D49" s="3" t="s">
        <v>181</v>
      </c>
      <c r="E49" s="1" t="s">
        <v>91</v>
      </c>
      <c r="F49" s="20">
        <v>70.179000000000002</v>
      </c>
      <c r="G49" s="20">
        <v>0.24099999999999999</v>
      </c>
      <c r="H49" s="20">
        <v>69.418000000000006</v>
      </c>
      <c r="I49" s="20">
        <v>0.04</v>
      </c>
      <c r="J49" s="20">
        <f t="shared" si="21"/>
        <v>0.76099999999999568</v>
      </c>
      <c r="K49" s="20">
        <f t="shared" si="18"/>
        <v>0.24429695045169925</v>
      </c>
      <c r="L49" s="20">
        <f t="shared" si="19"/>
        <v>5.9680999999999998E-2</v>
      </c>
      <c r="M49" s="8">
        <v>1.53</v>
      </c>
      <c r="N49" s="20">
        <f t="shared" si="20"/>
        <v>0.59136100000000669</v>
      </c>
    </row>
    <row r="50" spans="1:14">
      <c r="A50" s="26" t="s">
        <v>82</v>
      </c>
      <c r="B50" s="26" t="s">
        <v>46</v>
      </c>
      <c r="C50" s="3" t="s">
        <v>170</v>
      </c>
      <c r="D50" s="3" t="s">
        <v>201</v>
      </c>
      <c r="E50" s="1" t="s">
        <v>205</v>
      </c>
      <c r="F50" s="20">
        <v>11.673999999999999</v>
      </c>
      <c r="G50" s="20">
        <v>0.111</v>
      </c>
      <c r="H50" s="20">
        <v>12.246</v>
      </c>
      <c r="I50" s="20">
        <v>0.17299999999999999</v>
      </c>
      <c r="J50" s="20">
        <f t="shared" si="21"/>
        <v>-0.57200000000000095</v>
      </c>
      <c r="K50" s="20">
        <f t="shared" si="18"/>
        <v>0.20554804791094464</v>
      </c>
      <c r="L50" s="20">
        <f t="shared" si="19"/>
        <v>4.2249999999999989E-2</v>
      </c>
      <c r="M50" s="8">
        <v>0.06</v>
      </c>
      <c r="N50" s="20">
        <f t="shared" si="20"/>
        <v>0.39942400000000128</v>
      </c>
    </row>
    <row r="51" spans="1:14">
      <c r="A51" s="26" t="s">
        <v>82</v>
      </c>
      <c r="B51" s="26" t="s">
        <v>46</v>
      </c>
      <c r="C51" s="3" t="s">
        <v>171</v>
      </c>
      <c r="D51" s="3" t="s">
        <v>86</v>
      </c>
      <c r="E51" s="1" t="s">
        <v>92</v>
      </c>
      <c r="F51" s="20">
        <v>-7.7270000000000003</v>
      </c>
      <c r="G51" s="20">
        <v>0.34300000000000003</v>
      </c>
      <c r="H51" s="20">
        <v>-8.2859999999999996</v>
      </c>
      <c r="I51" s="20">
        <v>9.9000000000000005E-2</v>
      </c>
      <c r="J51" s="20">
        <f t="shared" si="21"/>
        <v>0.55899999999999928</v>
      </c>
      <c r="K51" s="20">
        <f t="shared" si="18"/>
        <v>0.35700140055747681</v>
      </c>
      <c r="L51" s="20">
        <f t="shared" si="19"/>
        <v>0.12745000000000001</v>
      </c>
      <c r="M51" s="8">
        <v>0.47</v>
      </c>
      <c r="N51" s="20">
        <f t="shared" si="20"/>
        <v>7.9209999999998761E-3</v>
      </c>
    </row>
    <row r="52" spans="1:14">
      <c r="A52" s="26" t="s">
        <v>82</v>
      </c>
      <c r="B52" s="26" t="s">
        <v>46</v>
      </c>
      <c r="C52" s="3" t="s">
        <v>172</v>
      </c>
      <c r="D52" s="3" t="s">
        <v>182</v>
      </c>
      <c r="E52" s="1" t="s">
        <v>93</v>
      </c>
      <c r="F52" s="20">
        <v>11.613</v>
      </c>
      <c r="G52" s="20">
        <v>0.127</v>
      </c>
      <c r="H52" s="20">
        <v>10.423</v>
      </c>
      <c r="I52" s="20">
        <v>0.13500000000000001</v>
      </c>
      <c r="J52" s="20">
        <f t="shared" si="21"/>
        <v>1.1899999999999995</v>
      </c>
      <c r="K52" s="20">
        <f t="shared" si="18"/>
        <v>0.18534832073693033</v>
      </c>
      <c r="L52" s="20">
        <f t="shared" si="19"/>
        <v>3.4353999999999996E-2</v>
      </c>
      <c r="M52" s="8">
        <v>-0.43</v>
      </c>
      <c r="N52" s="20">
        <f t="shared" si="20"/>
        <v>2.6243999999999983</v>
      </c>
    </row>
    <row r="53" spans="1:14">
      <c r="A53" s="1" t="s">
        <v>206</v>
      </c>
      <c r="B53" s="26" t="s">
        <v>46</v>
      </c>
      <c r="C53" s="6" t="s">
        <v>173</v>
      </c>
      <c r="D53" s="3" t="s">
        <v>183</v>
      </c>
      <c r="E53" s="1" t="s">
        <v>94</v>
      </c>
      <c r="F53" s="20">
        <v>13.455</v>
      </c>
      <c r="G53" s="20">
        <v>0.254</v>
      </c>
      <c r="H53" s="20">
        <v>12.03</v>
      </c>
      <c r="I53" s="20">
        <v>0.122</v>
      </c>
      <c r="J53" s="20">
        <f t="shared" ref="J53:J55" si="22">(F53-H53)</f>
        <v>1.4250000000000007</v>
      </c>
      <c r="K53" s="20">
        <f t="shared" si="18"/>
        <v>0.28178005607210743</v>
      </c>
      <c r="L53" s="20">
        <f t="shared" si="19"/>
        <v>7.9400000000000012E-2</v>
      </c>
      <c r="M53" s="8">
        <v>-0.27</v>
      </c>
      <c r="N53" s="20">
        <f t="shared" si="20"/>
        <v>2.8730250000000024</v>
      </c>
    </row>
    <row r="54" spans="1:14">
      <c r="A54" s="1" t="s">
        <v>206</v>
      </c>
      <c r="B54" s="26" t="s">
        <v>46</v>
      </c>
      <c r="C54" s="6" t="s">
        <v>174</v>
      </c>
      <c r="D54" s="3" t="s">
        <v>184</v>
      </c>
      <c r="E54" s="1" t="s">
        <v>188</v>
      </c>
      <c r="F54" s="20">
        <v>11.936</v>
      </c>
      <c r="G54" s="20">
        <v>0.185</v>
      </c>
      <c r="H54" s="20">
        <v>11.746</v>
      </c>
      <c r="I54" s="20">
        <v>0.17100000000000001</v>
      </c>
      <c r="J54" s="20">
        <f t="shared" si="22"/>
        <v>0.1899999999999995</v>
      </c>
      <c r="K54" s="20">
        <f t="shared" si="18"/>
        <v>0.25192459189209776</v>
      </c>
      <c r="L54" s="20">
        <f t="shared" si="19"/>
        <v>6.3466000000000009E-2</v>
      </c>
      <c r="M54" s="8">
        <v>-0.63</v>
      </c>
      <c r="N54" s="20">
        <f t="shared" si="20"/>
        <v>0.67239999999999922</v>
      </c>
    </row>
    <row r="55" spans="1:14">
      <c r="A55" s="1" t="s">
        <v>206</v>
      </c>
      <c r="B55" s="26" t="s">
        <v>46</v>
      </c>
      <c r="C55" s="6" t="s">
        <v>175</v>
      </c>
      <c r="D55" s="3" t="s">
        <v>185</v>
      </c>
      <c r="E55" s="1" t="s">
        <v>189</v>
      </c>
      <c r="F55" s="20">
        <v>14.977</v>
      </c>
      <c r="G55" s="20">
        <v>0.12258874</v>
      </c>
      <c r="H55" s="20">
        <v>14.122999999999999</v>
      </c>
      <c r="I55" s="20">
        <v>0.159</v>
      </c>
      <c r="J55" s="20">
        <f t="shared" si="22"/>
        <v>0.85400000000000098</v>
      </c>
      <c r="K55" s="20">
        <f t="shared" si="18"/>
        <v>0.20077101178902196</v>
      </c>
      <c r="L55" s="20">
        <f t="shared" si="19"/>
        <v>4.0308999174787592E-2</v>
      </c>
      <c r="M55" s="8">
        <v>0.19</v>
      </c>
      <c r="N55" s="20">
        <f t="shared" si="20"/>
        <v>0.4408960000000014</v>
      </c>
    </row>
    <row r="56" spans="1:14">
      <c r="A56" s="15" t="s">
        <v>82</v>
      </c>
      <c r="B56" s="1" t="s">
        <v>70</v>
      </c>
      <c r="C56" s="3" t="s">
        <v>14</v>
      </c>
      <c r="D56" s="3" t="s">
        <v>190</v>
      </c>
      <c r="E56" s="1" t="s">
        <v>195</v>
      </c>
      <c r="F56" s="20">
        <v>-5.1050000000000004</v>
      </c>
      <c r="G56" s="20">
        <v>8.5999999999999993E-2</v>
      </c>
      <c r="H56" s="20">
        <v>-5.056</v>
      </c>
      <c r="I56" s="20">
        <v>5.0999999999999997E-2</v>
      </c>
      <c r="J56" s="20">
        <f>(F56-H56)</f>
        <v>-4.9000000000000377E-2</v>
      </c>
      <c r="K56" s="20">
        <f>SQRT((G56)^2 + (I56)^2)</f>
        <v>9.9984998874831213E-2</v>
      </c>
      <c r="L56" s="20">
        <f>K56^2</f>
        <v>9.9969999999999989E-3</v>
      </c>
      <c r="M56" s="8">
        <v>-0.51</v>
      </c>
      <c r="N56" s="20">
        <f>(J56-M56)^2</f>
        <v>0.21252099999999965</v>
      </c>
    </row>
    <row r="57" spans="1:14">
      <c r="A57" s="1" t="s">
        <v>101</v>
      </c>
      <c r="B57" s="1" t="s">
        <v>70</v>
      </c>
      <c r="C57" s="6" t="s">
        <v>163</v>
      </c>
      <c r="D57" s="3" t="s">
        <v>191</v>
      </c>
      <c r="E57" s="1" t="s">
        <v>196</v>
      </c>
      <c r="F57" s="20">
        <v>-8.9540000000000006</v>
      </c>
      <c r="G57" s="20">
        <v>0.08</v>
      </c>
      <c r="H57" s="20">
        <v>-8.9640000000000004</v>
      </c>
      <c r="I57" s="20">
        <v>4.2999999999999997E-2</v>
      </c>
      <c r="J57" s="20">
        <f t="shared" ref="J57:J60" si="23">(F57-H57)</f>
        <v>9.9999999999997868E-3</v>
      </c>
      <c r="K57" s="20">
        <f t="shared" ref="K57:K60" si="24">SQRT((G57)^2 + (I57)^2)</f>
        <v>9.0824005637276314E-2</v>
      </c>
      <c r="L57" s="20">
        <f t="shared" ref="L57:L60" si="25">K57^2</f>
        <v>8.2489999999999994E-3</v>
      </c>
      <c r="M57" s="8">
        <v>1.1299999999999999</v>
      </c>
      <c r="N57" s="20">
        <f t="shared" ref="N57:N60" si="26">(J57-M57)^2</f>
        <v>1.2544000000000002</v>
      </c>
    </row>
    <row r="58" spans="1:14">
      <c r="A58" s="1" t="s">
        <v>101</v>
      </c>
      <c r="B58" s="1" t="s">
        <v>70</v>
      </c>
      <c r="C58" s="6" t="s">
        <v>164</v>
      </c>
      <c r="D58" s="3" t="s">
        <v>192</v>
      </c>
      <c r="E58" s="1" t="s">
        <v>77</v>
      </c>
      <c r="F58" s="20">
        <v>12.417</v>
      </c>
      <c r="G58" s="20">
        <v>0.14799999999999999</v>
      </c>
      <c r="H58" s="20">
        <v>11.585000000000001</v>
      </c>
      <c r="I58" s="20">
        <v>0.122</v>
      </c>
      <c r="J58" s="20">
        <f t="shared" si="23"/>
        <v>0.83199999999999896</v>
      </c>
      <c r="K58" s="20">
        <f t="shared" si="24"/>
        <v>0.19180198122021574</v>
      </c>
      <c r="L58" s="20">
        <f t="shared" si="25"/>
        <v>3.6787999999999994E-2</v>
      </c>
      <c r="M58" s="8">
        <v>0.47</v>
      </c>
      <c r="N58" s="20">
        <f t="shared" si="26"/>
        <v>0.13104399999999927</v>
      </c>
    </row>
    <row r="59" spans="1:14">
      <c r="A59" s="1" t="s">
        <v>101</v>
      </c>
      <c r="B59" s="1" t="s">
        <v>70</v>
      </c>
      <c r="C59" s="6" t="s">
        <v>165</v>
      </c>
      <c r="D59" s="3" t="s">
        <v>193</v>
      </c>
      <c r="E59" s="1" t="s">
        <v>197</v>
      </c>
      <c r="F59" s="20">
        <v>6.3879999999999999</v>
      </c>
      <c r="G59" s="20">
        <v>0.18</v>
      </c>
      <c r="H59" s="20">
        <v>6.2859999999999996</v>
      </c>
      <c r="I59" s="20">
        <v>9.0999999999999998E-2</v>
      </c>
      <c r="J59" s="20">
        <f t="shared" si="23"/>
        <v>0.10200000000000031</v>
      </c>
      <c r="K59" s="20">
        <f t="shared" si="24"/>
        <v>0.20169531476958011</v>
      </c>
      <c r="L59" s="20">
        <f t="shared" si="25"/>
        <v>4.0681000000000002E-2</v>
      </c>
      <c r="M59" s="8">
        <v>0.97</v>
      </c>
      <c r="N59" s="20">
        <f t="shared" si="26"/>
        <v>0.75342399999999943</v>
      </c>
    </row>
    <row r="60" spans="1:14">
      <c r="A60" s="1" t="s">
        <v>101</v>
      </c>
      <c r="B60" s="1" t="s">
        <v>70</v>
      </c>
      <c r="C60" s="6" t="s">
        <v>12</v>
      </c>
      <c r="D60" s="3" t="s">
        <v>194</v>
      </c>
      <c r="E60" s="1" t="s">
        <v>198</v>
      </c>
      <c r="F60" s="20">
        <v>-24.625</v>
      </c>
      <c r="G60" s="20">
        <v>0.25446611000000002</v>
      </c>
      <c r="H60" s="20">
        <v>-24.088000000000001</v>
      </c>
      <c r="I60" s="20">
        <v>9.1999999999999998E-2</v>
      </c>
      <c r="J60" s="20">
        <f t="shared" si="23"/>
        <v>-0.53699999999999903</v>
      </c>
      <c r="K60" s="20">
        <f t="shared" si="24"/>
        <v>0.27058640235335574</v>
      </c>
      <c r="L60" s="20">
        <f t="shared" si="25"/>
        <v>7.321700113853212E-2</v>
      </c>
      <c r="M60" s="8">
        <v>0.02</v>
      </c>
      <c r="N60" s="20">
        <f t="shared" si="26"/>
        <v>0.31024899999999894</v>
      </c>
    </row>
    <row r="61" spans="1:14">
      <c r="L61" s="18" t="s">
        <v>67</v>
      </c>
      <c r="M61" s="18"/>
      <c r="N61" s="18" t="s">
        <v>67</v>
      </c>
    </row>
    <row r="62" spans="1:14">
      <c r="L62" s="20">
        <f>SUM(L3:L60)</f>
        <v>4.364694998099929</v>
      </c>
      <c r="M62" s="20"/>
      <c r="N62" s="20">
        <f>SUM(N3:N60)</f>
        <v>75.369706999999948</v>
      </c>
    </row>
    <row r="63" spans="1:14">
      <c r="L63" s="20"/>
      <c r="M63" s="20"/>
      <c r="N63" s="20"/>
    </row>
    <row r="64" spans="1:14">
      <c r="L64" s="20"/>
      <c r="M64" s="19" t="s">
        <v>68</v>
      </c>
      <c r="N64" s="20">
        <f>SQRT(N62/58)</f>
        <v>1.1399463614120406</v>
      </c>
    </row>
    <row r="65" spans="12:14">
      <c r="L65" s="20"/>
      <c r="M65" s="19" t="s">
        <v>40</v>
      </c>
      <c r="N65" s="20">
        <f>SQRT(L62/58)</f>
        <v>0.27432346242384315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D18D0-A626-1A4C-9B42-C500AAF8E9C8}">
  <dimension ref="A1:BJ97"/>
  <sheetViews>
    <sheetView topLeftCell="Y31" workbookViewId="0">
      <selection activeCell="AA40" sqref="AA40:AN63"/>
    </sheetView>
  </sheetViews>
  <sheetFormatPr baseColWidth="10" defaultRowHeight="16"/>
  <cols>
    <col min="1" max="1" width="23" style="11" customWidth="1"/>
    <col min="2" max="2" width="27.1640625" style="11" customWidth="1"/>
    <col min="3" max="3" width="15.5" style="11" customWidth="1"/>
    <col min="4" max="4" width="10.83203125" style="11"/>
    <col min="5" max="5" width="19.5" style="11" customWidth="1"/>
    <col min="6" max="6" width="22" style="11" customWidth="1"/>
    <col min="7" max="7" width="14.83203125" style="11" customWidth="1"/>
    <col min="8" max="10" width="10.83203125" style="11"/>
    <col min="11" max="11" width="12.6640625" style="11" customWidth="1"/>
    <col min="12" max="12" width="14.83203125" style="11" customWidth="1"/>
    <col min="13" max="13" width="13.83203125" style="11" customWidth="1"/>
    <col min="14" max="14" width="10.83203125" style="11"/>
    <col min="15" max="15" width="15.1640625" style="11" customWidth="1"/>
    <col min="16" max="16" width="20.33203125" style="11" customWidth="1"/>
    <col min="17" max="17" width="16.83203125" style="11" customWidth="1"/>
    <col min="18" max="18" width="21.5" style="11" customWidth="1"/>
    <col min="19" max="20" width="10.83203125" style="11"/>
    <col min="21" max="21" width="14" style="11" customWidth="1"/>
    <col min="22" max="22" width="10.83203125" style="11"/>
    <col min="23" max="23" width="14.83203125" style="11" customWidth="1"/>
    <col min="24" max="24" width="20.83203125" style="11" customWidth="1"/>
    <col min="25" max="27" width="10.83203125" style="11"/>
    <col min="28" max="28" width="13.1640625" style="11" customWidth="1"/>
    <col min="29" max="29" width="17.5" style="11" customWidth="1"/>
    <col min="30" max="31" width="10.83203125" style="11"/>
    <col min="32" max="32" width="15.5" style="11" customWidth="1"/>
    <col min="33" max="33" width="19.1640625" style="11" customWidth="1"/>
    <col min="34" max="34" width="14.83203125" style="11" customWidth="1"/>
    <col min="35" max="35" width="21.1640625" style="11" customWidth="1"/>
    <col min="36" max="37" width="10.83203125" style="11"/>
    <col min="38" max="38" width="12.83203125" style="11" customWidth="1"/>
    <col min="39" max="39" width="10.83203125" style="11"/>
    <col min="40" max="40" width="14.1640625" style="11" customWidth="1"/>
    <col min="41" max="41" width="21.83203125" style="11" customWidth="1"/>
    <col min="42" max="49" width="10.83203125" style="11"/>
    <col min="50" max="50" width="16" style="11" customWidth="1"/>
    <col min="51" max="52" width="10.83203125" style="11"/>
    <col min="53" max="53" width="15.5" style="11" customWidth="1"/>
    <col min="54" max="54" width="18.83203125" style="11" bestFit="1" customWidth="1"/>
    <col min="55" max="55" width="14.6640625" style="11" customWidth="1"/>
    <col min="56" max="56" width="20.83203125" style="11" customWidth="1"/>
    <col min="57" max="58" width="10.83203125" style="11"/>
    <col min="59" max="59" width="16.6640625" style="11" customWidth="1"/>
    <col min="60" max="60" width="10.83203125" style="11"/>
    <col min="61" max="61" width="17.83203125" style="11" customWidth="1"/>
    <col min="62" max="62" width="16.83203125" style="11" customWidth="1"/>
    <col min="63" max="16384" width="10.83203125" style="11"/>
  </cols>
  <sheetData>
    <row r="1" spans="1:62" ht="17">
      <c r="A1" s="47" t="s">
        <v>0</v>
      </c>
      <c r="B1" s="47" t="s">
        <v>1</v>
      </c>
      <c r="C1" s="47" t="s">
        <v>2</v>
      </c>
      <c r="D1" s="20"/>
      <c r="E1" s="47" t="s">
        <v>3</v>
      </c>
      <c r="F1" s="47" t="s">
        <v>3</v>
      </c>
      <c r="G1" s="47" t="s">
        <v>2</v>
      </c>
      <c r="J1" s="10" t="s">
        <v>29</v>
      </c>
      <c r="AA1" s="10" t="s">
        <v>81</v>
      </c>
      <c r="AV1" s="10" t="s">
        <v>111</v>
      </c>
    </row>
    <row r="2" spans="1:62">
      <c r="A2" s="8" t="s">
        <v>4</v>
      </c>
      <c r="B2" s="51">
        <v>547</v>
      </c>
      <c r="C2" s="8">
        <v>-0.24</v>
      </c>
      <c r="D2" s="20"/>
      <c r="E2" s="8" t="s">
        <v>5</v>
      </c>
      <c r="F2" s="51">
        <v>328</v>
      </c>
      <c r="G2" s="8">
        <v>-0.01</v>
      </c>
      <c r="J2" s="12" t="s">
        <v>30</v>
      </c>
      <c r="K2" s="12" t="s">
        <v>31</v>
      </c>
      <c r="L2" s="13" t="s">
        <v>32</v>
      </c>
      <c r="M2" s="12" t="s">
        <v>33</v>
      </c>
      <c r="N2" s="12" t="s">
        <v>34</v>
      </c>
      <c r="O2" s="12" t="s">
        <v>35</v>
      </c>
      <c r="P2" s="12" t="s">
        <v>36</v>
      </c>
      <c r="Q2" s="12" t="s">
        <v>37</v>
      </c>
      <c r="R2" s="12" t="s">
        <v>38</v>
      </c>
      <c r="S2" s="12" t="s">
        <v>39</v>
      </c>
      <c r="T2" s="14" t="s">
        <v>40</v>
      </c>
      <c r="U2" s="12" t="s">
        <v>41</v>
      </c>
      <c r="V2" s="12" t="s">
        <v>42</v>
      </c>
      <c r="W2" s="12" t="s">
        <v>43</v>
      </c>
      <c r="X2" s="12" t="s">
        <v>44</v>
      </c>
      <c r="AA2" s="12" t="s">
        <v>30</v>
      </c>
      <c r="AB2" s="12" t="s">
        <v>31</v>
      </c>
      <c r="AC2" s="13" t="s">
        <v>32</v>
      </c>
      <c r="AD2" s="12" t="s">
        <v>33</v>
      </c>
      <c r="AE2" s="12" t="s">
        <v>34</v>
      </c>
      <c r="AF2" s="12" t="s">
        <v>35</v>
      </c>
      <c r="AG2" s="12" t="s">
        <v>36</v>
      </c>
      <c r="AH2" s="12" t="s">
        <v>37</v>
      </c>
      <c r="AI2" s="12" t="s">
        <v>38</v>
      </c>
      <c r="AJ2" s="12" t="s">
        <v>39</v>
      </c>
      <c r="AK2" s="14" t="s">
        <v>40</v>
      </c>
      <c r="AL2" s="12" t="s">
        <v>41</v>
      </c>
      <c r="AM2" s="12" t="s">
        <v>42</v>
      </c>
      <c r="AN2" s="12" t="s">
        <v>43</v>
      </c>
      <c r="AO2" s="12" t="s">
        <v>44</v>
      </c>
      <c r="AV2" s="12" t="s">
        <v>30</v>
      </c>
      <c r="AW2" s="12" t="s">
        <v>31</v>
      </c>
      <c r="AX2" s="13" t="s">
        <v>32</v>
      </c>
      <c r="AY2" s="12" t="s">
        <v>33</v>
      </c>
      <c r="AZ2" s="12" t="s">
        <v>34</v>
      </c>
      <c r="BA2" s="12" t="s">
        <v>35</v>
      </c>
      <c r="BB2" s="12" t="s">
        <v>36</v>
      </c>
      <c r="BC2" s="12" t="s">
        <v>37</v>
      </c>
      <c r="BD2" s="12" t="s">
        <v>38</v>
      </c>
      <c r="BE2" s="12" t="s">
        <v>39</v>
      </c>
      <c r="BF2" s="14" t="s">
        <v>40</v>
      </c>
      <c r="BG2" s="12" t="s">
        <v>41</v>
      </c>
      <c r="BH2" s="12" t="s">
        <v>42</v>
      </c>
      <c r="BI2" s="12" t="s">
        <v>43</v>
      </c>
      <c r="BJ2" s="12" t="s">
        <v>44</v>
      </c>
    </row>
    <row r="3" spans="1:62">
      <c r="A3" s="42" t="s">
        <v>6</v>
      </c>
      <c r="B3" s="51">
        <v>548</v>
      </c>
      <c r="C3" s="8">
        <v>0.97</v>
      </c>
      <c r="D3" s="20"/>
      <c r="E3" s="8" t="s">
        <v>7</v>
      </c>
      <c r="F3" s="51">
        <v>331</v>
      </c>
      <c r="G3" s="8">
        <v>0.7</v>
      </c>
      <c r="J3" s="15" t="s">
        <v>45</v>
      </c>
      <c r="K3" s="15" t="s">
        <v>46</v>
      </c>
      <c r="L3" s="8" t="s">
        <v>5</v>
      </c>
      <c r="M3" s="15" t="s">
        <v>47</v>
      </c>
      <c r="N3" s="15" t="s">
        <v>56</v>
      </c>
      <c r="O3" s="15">
        <v>-13.516</v>
      </c>
      <c r="P3" s="15">
        <v>0.36499999999999999</v>
      </c>
      <c r="Q3" s="15">
        <v>-13.941000000000001</v>
      </c>
      <c r="R3" s="15">
        <v>8.5999999999999993E-2</v>
      </c>
      <c r="S3" s="15">
        <v>0.42499999999999999</v>
      </c>
      <c r="T3" s="15">
        <v>0.37479994700000002</v>
      </c>
      <c r="U3" s="15">
        <v>0.14047499999999999</v>
      </c>
      <c r="V3" s="8">
        <v>-0.01</v>
      </c>
      <c r="W3" s="20">
        <f>(S3-V3)^2</f>
        <v>0.189225</v>
      </c>
      <c r="X3" s="20" t="s">
        <v>234</v>
      </c>
      <c r="Y3" s="20"/>
      <c r="Z3" s="20"/>
      <c r="AA3" s="46" t="s">
        <v>235</v>
      </c>
      <c r="AB3" s="46" t="s">
        <v>46</v>
      </c>
      <c r="AC3" s="8" t="s">
        <v>5</v>
      </c>
      <c r="AD3" s="46" t="s">
        <v>47</v>
      </c>
      <c r="AE3" s="46" t="s">
        <v>56</v>
      </c>
      <c r="AF3" s="15">
        <v>-13.398999999999999</v>
      </c>
      <c r="AG3" s="15">
        <v>0.249</v>
      </c>
      <c r="AH3" s="15">
        <v>-13.057</v>
      </c>
      <c r="AI3" s="15">
        <v>0.16700000000000001</v>
      </c>
      <c r="AJ3" s="15">
        <f>(AF3-AH3)</f>
        <v>-0.34199999999999875</v>
      </c>
      <c r="AK3" s="15">
        <f>SQRT((AG3)^2 + (AI3)^2)</f>
        <v>0.29981661061388842</v>
      </c>
      <c r="AL3" s="15">
        <f>AK3^2</f>
        <v>8.9889999999999998E-2</v>
      </c>
      <c r="AM3" s="8">
        <v>-0.01</v>
      </c>
      <c r="AN3" s="15">
        <f>(AJ3-AM3)^2</f>
        <v>0.11022399999999917</v>
      </c>
      <c r="AO3" s="20" t="s">
        <v>242</v>
      </c>
      <c r="AP3" s="20"/>
      <c r="AV3" s="46" t="s">
        <v>101</v>
      </c>
      <c r="AW3" s="46" t="s">
        <v>46</v>
      </c>
      <c r="AX3" s="8" t="s">
        <v>5</v>
      </c>
      <c r="AY3" s="46" t="s">
        <v>47</v>
      </c>
      <c r="AZ3" s="46" t="s">
        <v>56</v>
      </c>
      <c r="BA3" s="15">
        <v>-12.821</v>
      </c>
      <c r="BB3" s="15">
        <v>9.5000000000000001E-2</v>
      </c>
      <c r="BC3" s="15">
        <v>-13.186999999999999</v>
      </c>
      <c r="BD3" s="15">
        <v>0.24099999999999999</v>
      </c>
      <c r="BE3" s="15">
        <f>BA3-BC3</f>
        <v>0.36599999999999966</v>
      </c>
      <c r="BF3" s="15">
        <f>SQRT((BB3)^2 + (BD3)^2)</f>
        <v>0.25904825805243314</v>
      </c>
      <c r="BG3" s="15">
        <f>BF3^2</f>
        <v>6.7105999999999999E-2</v>
      </c>
      <c r="BH3" s="8">
        <v>-0.01</v>
      </c>
      <c r="BI3" s="15">
        <f>(BE3-BH3)^2</f>
        <v>0.14137599999999975</v>
      </c>
      <c r="BJ3" s="20" t="s">
        <v>155</v>
      </c>
    </row>
    <row r="4" spans="1:62">
      <c r="A4" s="42" t="s">
        <v>8</v>
      </c>
      <c r="B4" s="51">
        <v>550</v>
      </c>
      <c r="C4" s="8">
        <v>-0.15</v>
      </c>
      <c r="D4" s="20"/>
      <c r="E4" s="8" t="s">
        <v>9</v>
      </c>
      <c r="F4" s="51">
        <v>345</v>
      </c>
      <c r="G4" s="8">
        <v>1.19</v>
      </c>
      <c r="J4" s="15" t="s">
        <v>45</v>
      </c>
      <c r="K4" s="15" t="s">
        <v>46</v>
      </c>
      <c r="L4" s="8" t="s">
        <v>9</v>
      </c>
      <c r="M4" s="15" t="s">
        <v>83</v>
      </c>
      <c r="N4" s="15" t="s">
        <v>89</v>
      </c>
      <c r="O4" s="15">
        <v>-30.213999999999999</v>
      </c>
      <c r="P4" s="15">
        <v>0.34799999999999998</v>
      </c>
      <c r="Q4" s="15">
        <v>-36.872999999999998</v>
      </c>
      <c r="R4" s="15">
        <v>0.19500000000000001</v>
      </c>
      <c r="S4" s="15">
        <v>6.6589999999999998</v>
      </c>
      <c r="T4" s="15">
        <v>0.39883329899999997</v>
      </c>
      <c r="U4" s="15">
        <v>0.15906799999999999</v>
      </c>
      <c r="V4" s="8">
        <v>1.19</v>
      </c>
      <c r="W4" s="20">
        <f t="shared" ref="W4:W13" si="0">(S4-V4)^2</f>
        <v>29.909960999999992</v>
      </c>
      <c r="X4" s="20" t="s">
        <v>234</v>
      </c>
      <c r="Y4" s="20"/>
      <c r="Z4" s="20"/>
      <c r="AA4" s="46" t="s">
        <v>235</v>
      </c>
      <c r="AB4" s="46" t="s">
        <v>46</v>
      </c>
      <c r="AC4" s="8" t="s">
        <v>7</v>
      </c>
      <c r="AD4" s="46" t="s">
        <v>48</v>
      </c>
      <c r="AE4" s="46" t="s">
        <v>57</v>
      </c>
      <c r="AF4" s="15">
        <v>10.939</v>
      </c>
      <c r="AG4" s="15">
        <v>0.183</v>
      </c>
      <c r="AH4" s="15">
        <v>11.262</v>
      </c>
      <c r="AI4" s="15">
        <v>0.254</v>
      </c>
      <c r="AJ4" s="15">
        <f t="shared" ref="AJ4:AJ18" si="1">(AF4-AH4)</f>
        <v>-0.3230000000000004</v>
      </c>
      <c r="AK4" s="15">
        <f t="shared" ref="AK4:AK18" si="2">SQRT((AG4)^2 + (AI4)^2)</f>
        <v>0.31305750270517396</v>
      </c>
      <c r="AL4" s="15">
        <f t="shared" ref="AL4:AL18" si="3">AK4^2</f>
        <v>9.8005000000000009E-2</v>
      </c>
      <c r="AM4" s="8">
        <v>0.7</v>
      </c>
      <c r="AN4" s="15">
        <f t="shared" ref="AN4:AN18" si="4">(AJ4-AM4)^2</f>
        <v>1.0465290000000007</v>
      </c>
      <c r="AO4" s="20" t="s">
        <v>242</v>
      </c>
      <c r="AP4" s="20"/>
      <c r="AV4" s="46" t="s">
        <v>101</v>
      </c>
      <c r="AW4" s="46" t="s">
        <v>46</v>
      </c>
      <c r="AX4" s="8" t="s">
        <v>7</v>
      </c>
      <c r="AY4" s="46" t="s">
        <v>48</v>
      </c>
      <c r="AZ4" s="46" t="s">
        <v>57</v>
      </c>
      <c r="BA4" s="15">
        <v>10.983000000000001</v>
      </c>
      <c r="BB4" s="15">
        <v>0.105</v>
      </c>
      <c r="BC4" s="15">
        <v>11.526999999999999</v>
      </c>
      <c r="BD4" s="15">
        <v>0.17799999999999999</v>
      </c>
      <c r="BE4" s="15">
        <f t="shared" ref="BE4:BE18" si="5">BA4-BC4</f>
        <v>-0.54399999999999871</v>
      </c>
      <c r="BF4" s="15">
        <f t="shared" ref="BF4:BF18" si="6">SQRT((BB4)^2 + (BD4)^2)</f>
        <v>0.20666155907667008</v>
      </c>
      <c r="BG4" s="15">
        <f t="shared" ref="BG4:BG18" si="7">BF4^2</f>
        <v>4.2708999999999997E-2</v>
      </c>
      <c r="BH4" s="8">
        <v>0.7</v>
      </c>
      <c r="BI4" s="15">
        <f t="shared" ref="BI4:BI18" si="8">(BE4-BH4)^2</f>
        <v>1.5475359999999967</v>
      </c>
      <c r="BJ4" s="20" t="s">
        <v>155</v>
      </c>
    </row>
    <row r="5" spans="1:62">
      <c r="A5" s="42" t="s">
        <v>10</v>
      </c>
      <c r="B5" s="51">
        <v>609</v>
      </c>
      <c r="C5" s="8">
        <v>2.0099999999999998</v>
      </c>
      <c r="D5" s="20"/>
      <c r="E5" s="8" t="s">
        <v>11</v>
      </c>
      <c r="F5" s="51">
        <v>348</v>
      </c>
      <c r="G5" s="8">
        <v>1.28</v>
      </c>
      <c r="J5" s="15" t="s">
        <v>45</v>
      </c>
      <c r="K5" s="15" t="s">
        <v>46</v>
      </c>
      <c r="L5" s="8" t="s">
        <v>13</v>
      </c>
      <c r="M5" s="15" t="s">
        <v>49</v>
      </c>
      <c r="N5" s="15" t="s">
        <v>58</v>
      </c>
      <c r="O5" s="15">
        <v>11.813000000000001</v>
      </c>
      <c r="P5" s="15">
        <v>0.222</v>
      </c>
      <c r="Q5" s="15">
        <v>11.468999999999999</v>
      </c>
      <c r="R5" s="15">
        <v>0.112</v>
      </c>
      <c r="S5" s="15">
        <v>0.34399999999999997</v>
      </c>
      <c r="T5" s="15">
        <v>0.248929709</v>
      </c>
      <c r="U5" s="15">
        <v>6.1966E-2</v>
      </c>
      <c r="V5" s="8">
        <v>-1.28</v>
      </c>
      <c r="W5" s="20">
        <f t="shared" si="0"/>
        <v>2.6373760000000002</v>
      </c>
      <c r="X5" s="20" t="s">
        <v>234</v>
      </c>
      <c r="Y5" s="20"/>
      <c r="Z5" s="20"/>
      <c r="AA5" s="20" t="s">
        <v>101</v>
      </c>
      <c r="AB5" s="46" t="s">
        <v>46</v>
      </c>
      <c r="AC5" s="8" t="s">
        <v>9</v>
      </c>
      <c r="AD5" s="53" t="s">
        <v>83</v>
      </c>
      <c r="AE5" s="20" t="s">
        <v>89</v>
      </c>
      <c r="AF5" s="20">
        <v>-34.756</v>
      </c>
      <c r="AG5" s="20">
        <v>0.41899999999999998</v>
      </c>
      <c r="AH5" s="15">
        <v>-37.732999999999997</v>
      </c>
      <c r="AI5" s="15">
        <v>0.26400000000000001</v>
      </c>
      <c r="AJ5" s="15">
        <f t="shared" si="1"/>
        <v>2.9769999999999968</v>
      </c>
      <c r="AK5" s="15">
        <f t="shared" si="2"/>
        <v>0.49523428798902847</v>
      </c>
      <c r="AL5" s="15">
        <f t="shared" si="3"/>
        <v>0.24525699999999998</v>
      </c>
      <c r="AM5" s="8">
        <v>1.19</v>
      </c>
      <c r="AN5" s="15">
        <f t="shared" si="4"/>
        <v>3.1933689999999886</v>
      </c>
      <c r="AO5" s="20" t="s">
        <v>237</v>
      </c>
      <c r="AP5" s="20"/>
      <c r="AV5" s="20" t="s">
        <v>101</v>
      </c>
      <c r="AW5" s="46" t="s">
        <v>46</v>
      </c>
      <c r="AX5" s="8" t="s">
        <v>9</v>
      </c>
      <c r="AY5" s="53" t="s">
        <v>83</v>
      </c>
      <c r="AZ5" s="20" t="s">
        <v>89</v>
      </c>
      <c r="BA5" s="20">
        <v>-34.756</v>
      </c>
      <c r="BB5" s="20">
        <v>0.41899999999999998</v>
      </c>
      <c r="BC5" s="15">
        <v>-37.732999999999997</v>
      </c>
      <c r="BD5" s="15">
        <v>0.26400000000000001</v>
      </c>
      <c r="BE5" s="15">
        <f t="shared" si="5"/>
        <v>2.9769999999999968</v>
      </c>
      <c r="BF5" s="15">
        <f t="shared" si="6"/>
        <v>0.49523428798902847</v>
      </c>
      <c r="BG5" s="15">
        <f t="shared" si="7"/>
        <v>0.24525699999999998</v>
      </c>
      <c r="BH5" s="8">
        <v>1.19</v>
      </c>
      <c r="BI5" s="15">
        <f t="shared" si="8"/>
        <v>3.1933689999999886</v>
      </c>
      <c r="BJ5" s="20" t="s">
        <v>237</v>
      </c>
    </row>
    <row r="6" spans="1:62">
      <c r="A6" s="8" t="s">
        <v>12</v>
      </c>
      <c r="B6" s="51">
        <v>611</v>
      </c>
      <c r="C6" s="8">
        <v>0.85</v>
      </c>
      <c r="D6" s="20"/>
      <c r="E6" s="8" t="s">
        <v>13</v>
      </c>
      <c r="F6" s="51">
        <v>353</v>
      </c>
      <c r="G6" s="8">
        <v>-1.28</v>
      </c>
      <c r="J6" s="15" t="s">
        <v>45</v>
      </c>
      <c r="K6" s="15" t="s">
        <v>46</v>
      </c>
      <c r="L6" s="8" t="s">
        <v>15</v>
      </c>
      <c r="M6" s="15" t="s">
        <v>50</v>
      </c>
      <c r="N6" s="15" t="s">
        <v>59</v>
      </c>
      <c r="O6" s="15">
        <v>14.416</v>
      </c>
      <c r="P6" s="15">
        <v>0.22600000000000001</v>
      </c>
      <c r="Q6" s="15">
        <v>13.404</v>
      </c>
      <c r="R6" s="15">
        <v>7.2999999999999995E-2</v>
      </c>
      <c r="S6" s="15">
        <v>1.012</v>
      </c>
      <c r="T6" s="15">
        <v>0.23788232400000001</v>
      </c>
      <c r="U6" s="15">
        <v>5.6587999999999999E-2</v>
      </c>
      <c r="V6" s="8">
        <v>1.26</v>
      </c>
      <c r="W6" s="20">
        <f t="shared" si="0"/>
        <v>6.1503999999999996E-2</v>
      </c>
      <c r="X6" s="20" t="s">
        <v>234</v>
      </c>
      <c r="Y6" s="20"/>
      <c r="Z6" s="20"/>
      <c r="AA6" s="20" t="s">
        <v>101</v>
      </c>
      <c r="AB6" s="46" t="s">
        <v>46</v>
      </c>
      <c r="AC6" s="8" t="s">
        <v>11</v>
      </c>
      <c r="AD6" s="53" t="s">
        <v>84</v>
      </c>
      <c r="AE6" s="20" t="s">
        <v>90</v>
      </c>
      <c r="AF6" s="15">
        <v>-40.82</v>
      </c>
      <c r="AG6" s="15">
        <v>0.33</v>
      </c>
      <c r="AH6" s="15">
        <v>-41.286000000000001</v>
      </c>
      <c r="AI6" s="15">
        <v>0.107</v>
      </c>
      <c r="AJ6" s="15">
        <f t="shared" si="1"/>
        <v>0.46600000000000108</v>
      </c>
      <c r="AK6" s="15">
        <f t="shared" si="2"/>
        <v>0.34691353389569568</v>
      </c>
      <c r="AL6" s="15">
        <f t="shared" si="3"/>
        <v>0.120349</v>
      </c>
      <c r="AM6" s="8">
        <v>1.28</v>
      </c>
      <c r="AN6" s="15">
        <f t="shared" si="4"/>
        <v>0.6625959999999983</v>
      </c>
      <c r="AO6" s="20" t="s">
        <v>238</v>
      </c>
      <c r="AP6" s="20"/>
      <c r="AV6" s="20" t="s">
        <v>101</v>
      </c>
      <c r="AW6" s="46" t="s">
        <v>46</v>
      </c>
      <c r="AX6" s="8" t="s">
        <v>11</v>
      </c>
      <c r="AY6" s="53" t="s">
        <v>84</v>
      </c>
      <c r="AZ6" s="20" t="s">
        <v>90</v>
      </c>
      <c r="BA6" s="15">
        <v>-40.82</v>
      </c>
      <c r="BB6" s="15">
        <v>0.33</v>
      </c>
      <c r="BC6" s="15">
        <v>-41.286000000000001</v>
      </c>
      <c r="BD6" s="15">
        <v>0.107</v>
      </c>
      <c r="BE6" s="15">
        <f t="shared" si="5"/>
        <v>0.46600000000000108</v>
      </c>
      <c r="BF6" s="15">
        <f t="shared" si="6"/>
        <v>0.34691353389569568</v>
      </c>
      <c r="BG6" s="15">
        <f t="shared" si="7"/>
        <v>0.120349</v>
      </c>
      <c r="BH6" s="8">
        <v>1.28</v>
      </c>
      <c r="BI6" s="15">
        <f t="shared" si="8"/>
        <v>0.6625959999999983</v>
      </c>
      <c r="BJ6" s="20" t="s">
        <v>238</v>
      </c>
    </row>
    <row r="7" spans="1:62">
      <c r="A7" s="8" t="s">
        <v>14</v>
      </c>
      <c r="B7" s="51">
        <v>523</v>
      </c>
      <c r="C7" s="8">
        <v>-0.78</v>
      </c>
      <c r="D7" s="20"/>
      <c r="E7" s="8" t="s">
        <v>15</v>
      </c>
      <c r="F7" s="51">
        <v>354</v>
      </c>
      <c r="G7" s="8">
        <v>1.26</v>
      </c>
      <c r="J7" s="15" t="s">
        <v>45</v>
      </c>
      <c r="K7" s="15" t="s">
        <v>46</v>
      </c>
      <c r="L7" s="8" t="s">
        <v>16</v>
      </c>
      <c r="M7" s="15" t="s">
        <v>51</v>
      </c>
      <c r="N7" s="15" t="s">
        <v>60</v>
      </c>
      <c r="O7" s="15">
        <v>-5.8109999999999999</v>
      </c>
      <c r="P7" s="15">
        <v>0.34699999999999998</v>
      </c>
      <c r="Q7" s="15">
        <v>-6.1390000000000002</v>
      </c>
      <c r="R7" s="15">
        <v>5.2999999999999999E-2</v>
      </c>
      <c r="S7" s="15">
        <v>0.32800000000000001</v>
      </c>
      <c r="T7" s="15">
        <v>0.35097008400000002</v>
      </c>
      <c r="U7" s="15">
        <v>0.12318</v>
      </c>
      <c r="V7" s="8">
        <v>1.35</v>
      </c>
      <c r="W7" s="20">
        <f t="shared" si="0"/>
        <v>1.044484</v>
      </c>
      <c r="X7" s="20" t="s">
        <v>234</v>
      </c>
      <c r="Y7" s="20"/>
      <c r="Z7" s="20"/>
      <c r="AA7" s="20" t="s">
        <v>82</v>
      </c>
      <c r="AB7" s="46" t="s">
        <v>46</v>
      </c>
      <c r="AC7" s="8" t="s">
        <v>13</v>
      </c>
      <c r="AD7" s="55" t="s">
        <v>49</v>
      </c>
      <c r="AE7" s="20" t="s">
        <v>58</v>
      </c>
      <c r="AF7" s="15">
        <v>11.664999999999999</v>
      </c>
      <c r="AG7" s="15">
        <v>0.20100000000000001</v>
      </c>
      <c r="AH7" s="15">
        <v>11.569000000000001</v>
      </c>
      <c r="AI7" s="15">
        <v>2.1000000000000001E-2</v>
      </c>
      <c r="AJ7" s="15">
        <f t="shared" si="1"/>
        <v>9.5999999999998309E-2</v>
      </c>
      <c r="AK7" s="15">
        <f t="shared" si="2"/>
        <v>0.20209403751719149</v>
      </c>
      <c r="AL7" s="15">
        <f t="shared" si="3"/>
        <v>4.0842000000000003E-2</v>
      </c>
      <c r="AM7" s="8">
        <v>-1.28</v>
      </c>
      <c r="AN7" s="15">
        <f t="shared" si="4"/>
        <v>1.8933759999999955</v>
      </c>
      <c r="AO7" s="20" t="s">
        <v>236</v>
      </c>
      <c r="AP7" s="20"/>
      <c r="AV7" s="20" t="s">
        <v>101</v>
      </c>
      <c r="AW7" s="46" t="s">
        <v>46</v>
      </c>
      <c r="AX7" s="8" t="s">
        <v>13</v>
      </c>
      <c r="AY7" s="55" t="s">
        <v>49</v>
      </c>
      <c r="AZ7" s="20" t="s">
        <v>58</v>
      </c>
      <c r="BA7" s="15">
        <v>11.759</v>
      </c>
      <c r="BB7" s="15">
        <v>0.193</v>
      </c>
      <c r="BC7" s="15">
        <v>11.755000000000001</v>
      </c>
      <c r="BD7" s="15">
        <v>5.0999999999999997E-2</v>
      </c>
      <c r="BE7" s="15">
        <f t="shared" si="5"/>
        <v>3.9999999999995595E-3</v>
      </c>
      <c r="BF7" s="15">
        <f t="shared" si="6"/>
        <v>0.1996246477767713</v>
      </c>
      <c r="BG7" s="15">
        <f t="shared" si="7"/>
        <v>3.9850000000000003E-2</v>
      </c>
      <c r="BH7" s="8">
        <v>-1.28</v>
      </c>
      <c r="BI7" s="15">
        <f t="shared" si="8"/>
        <v>1.648655999999999</v>
      </c>
      <c r="BJ7" s="20" t="s">
        <v>155</v>
      </c>
    </row>
    <row r="8" spans="1:62">
      <c r="A8" s="20"/>
      <c r="B8" s="20"/>
      <c r="C8" s="20"/>
      <c r="D8" s="20"/>
      <c r="E8" s="8" t="s">
        <v>16</v>
      </c>
      <c r="F8" s="51">
        <v>356</v>
      </c>
      <c r="G8" s="8">
        <v>1.35</v>
      </c>
      <c r="J8" s="15" t="s">
        <v>45</v>
      </c>
      <c r="K8" s="15" t="s">
        <v>46</v>
      </c>
      <c r="L8" s="8" t="s">
        <v>17</v>
      </c>
      <c r="M8" s="15" t="s">
        <v>52</v>
      </c>
      <c r="N8" s="15" t="s">
        <v>61</v>
      </c>
      <c r="O8" s="15">
        <v>72.271000000000001</v>
      </c>
      <c r="P8" s="15">
        <v>0.33100000000000002</v>
      </c>
      <c r="Q8" s="15">
        <v>70.02</v>
      </c>
      <c r="R8" s="15">
        <v>0.09</v>
      </c>
      <c r="S8" s="15">
        <v>2.2509999999999999</v>
      </c>
      <c r="T8" s="15">
        <v>0.34257553899999998</v>
      </c>
      <c r="U8" s="15">
        <v>0.117358</v>
      </c>
      <c r="V8" s="8">
        <v>1.76</v>
      </c>
      <c r="W8" s="20">
        <f t="shared" si="0"/>
        <v>0.24108099999999988</v>
      </c>
      <c r="X8" s="20" t="s">
        <v>234</v>
      </c>
      <c r="Y8" s="20"/>
      <c r="Z8" s="20"/>
      <c r="AA8" s="46" t="s">
        <v>82</v>
      </c>
      <c r="AB8" s="46" t="s">
        <v>46</v>
      </c>
      <c r="AC8" s="8" t="s">
        <v>15</v>
      </c>
      <c r="AD8" s="46" t="s">
        <v>50</v>
      </c>
      <c r="AE8" s="46" t="s">
        <v>59</v>
      </c>
      <c r="AF8" s="15">
        <v>14.804</v>
      </c>
      <c r="AG8" s="15">
        <v>0.19500000000000001</v>
      </c>
      <c r="AH8" s="15">
        <v>13.321999999999999</v>
      </c>
      <c r="AI8" s="15">
        <v>0.20899999999999999</v>
      </c>
      <c r="AJ8" s="15">
        <f t="shared" si="1"/>
        <v>1.4820000000000011</v>
      </c>
      <c r="AK8" s="15">
        <f t="shared" si="2"/>
        <v>0.28584261403786526</v>
      </c>
      <c r="AL8" s="15">
        <f t="shared" si="3"/>
        <v>8.1706000000000001E-2</v>
      </c>
      <c r="AM8" s="8">
        <v>1.26</v>
      </c>
      <c r="AN8" s="15">
        <f t="shared" si="4"/>
        <v>4.928400000000048E-2</v>
      </c>
      <c r="AO8" s="20" t="s">
        <v>242</v>
      </c>
      <c r="AP8" s="20"/>
      <c r="AV8" s="20" t="s">
        <v>101</v>
      </c>
      <c r="AW8" s="46" t="s">
        <v>46</v>
      </c>
      <c r="AX8" s="8" t="s">
        <v>15</v>
      </c>
      <c r="AY8" s="46" t="s">
        <v>50</v>
      </c>
      <c r="AZ8" s="46" t="s">
        <v>59</v>
      </c>
      <c r="BA8" s="15">
        <v>15.079000000000001</v>
      </c>
      <c r="BB8" s="15">
        <v>0.20399999999999999</v>
      </c>
      <c r="BC8" s="15">
        <v>13.419</v>
      </c>
      <c r="BD8" s="15">
        <v>8.5999999999999993E-2</v>
      </c>
      <c r="BE8" s="15">
        <f t="shared" si="5"/>
        <v>1.6600000000000001</v>
      </c>
      <c r="BF8" s="15">
        <f t="shared" si="6"/>
        <v>0.22138653978957257</v>
      </c>
      <c r="BG8" s="15">
        <f t="shared" si="7"/>
        <v>4.9012E-2</v>
      </c>
      <c r="BH8" s="8">
        <v>1.26</v>
      </c>
      <c r="BI8" s="15">
        <f t="shared" si="8"/>
        <v>0.16000000000000011</v>
      </c>
      <c r="BJ8" s="20" t="s">
        <v>155</v>
      </c>
    </row>
    <row r="9" spans="1:62">
      <c r="A9" s="20"/>
      <c r="B9" s="20"/>
      <c r="C9" s="20"/>
      <c r="D9" s="20"/>
      <c r="E9" s="8" t="s">
        <v>17</v>
      </c>
      <c r="F9" s="51">
        <v>357</v>
      </c>
      <c r="G9" s="8">
        <v>1.76</v>
      </c>
      <c r="J9" s="15" t="s">
        <v>45</v>
      </c>
      <c r="K9" s="15" t="s">
        <v>46</v>
      </c>
      <c r="L9" s="8" t="s">
        <v>20</v>
      </c>
      <c r="M9" s="15" t="s">
        <v>53</v>
      </c>
      <c r="N9" s="15" t="s">
        <v>62</v>
      </c>
      <c r="O9" s="15">
        <v>47.573999999999998</v>
      </c>
      <c r="P9" s="15">
        <v>0.33400000000000002</v>
      </c>
      <c r="Q9" s="15">
        <v>45.774000000000001</v>
      </c>
      <c r="R9" s="15">
        <v>7.6999999999999999E-2</v>
      </c>
      <c r="S9" s="15">
        <v>1.8</v>
      </c>
      <c r="T9" s="15">
        <v>0.34266893599999998</v>
      </c>
      <c r="U9" s="15">
        <v>0.117422</v>
      </c>
      <c r="V9" s="8">
        <v>-0.35</v>
      </c>
      <c r="W9" s="20">
        <f t="shared" si="0"/>
        <v>4.6224999999999996</v>
      </c>
      <c r="X9" s="20" t="s">
        <v>234</v>
      </c>
      <c r="Y9" s="20"/>
      <c r="Z9" s="20"/>
      <c r="AA9" s="46" t="s">
        <v>82</v>
      </c>
      <c r="AB9" s="46" t="s">
        <v>46</v>
      </c>
      <c r="AC9" s="8" t="s">
        <v>16</v>
      </c>
      <c r="AD9" s="46" t="s">
        <v>51</v>
      </c>
      <c r="AE9" s="46" t="s">
        <v>60</v>
      </c>
      <c r="AF9" s="15">
        <v>-5.4770000000000003</v>
      </c>
      <c r="AG9" s="15">
        <v>0.129</v>
      </c>
      <c r="AH9" s="15">
        <v>-6.0810000000000004</v>
      </c>
      <c r="AI9" s="15">
        <v>3.1E-2</v>
      </c>
      <c r="AJ9" s="15">
        <f t="shared" si="1"/>
        <v>0.60400000000000009</v>
      </c>
      <c r="AK9" s="15">
        <f t="shared" si="2"/>
        <v>0.13267252918370101</v>
      </c>
      <c r="AL9" s="15">
        <f t="shared" si="3"/>
        <v>1.7601999999999996E-2</v>
      </c>
      <c r="AM9" s="8">
        <v>1.35</v>
      </c>
      <c r="AN9" s="15">
        <f t="shared" si="4"/>
        <v>0.55651600000000001</v>
      </c>
      <c r="AO9" s="20" t="s">
        <v>242</v>
      </c>
      <c r="AP9" s="20"/>
      <c r="AV9" s="20" t="s">
        <v>101</v>
      </c>
      <c r="AW9" s="46" t="s">
        <v>46</v>
      </c>
      <c r="AX9" s="8" t="s">
        <v>16</v>
      </c>
      <c r="AY9" s="46" t="s">
        <v>51</v>
      </c>
      <c r="AZ9" s="46" t="s">
        <v>60</v>
      </c>
      <c r="BA9" s="15">
        <v>-4.9950000000000001</v>
      </c>
      <c r="BB9" s="15">
        <v>0.10299999999999999</v>
      </c>
      <c r="BC9" s="15">
        <v>-6.1840000000000002</v>
      </c>
      <c r="BD9" s="15">
        <v>8.7999999999999995E-2</v>
      </c>
      <c r="BE9" s="15">
        <f t="shared" si="5"/>
        <v>1.1890000000000001</v>
      </c>
      <c r="BF9" s="15">
        <f t="shared" si="6"/>
        <v>0.13547324459095234</v>
      </c>
      <c r="BG9" s="15">
        <f t="shared" si="7"/>
        <v>1.8352999999999998E-2</v>
      </c>
      <c r="BH9" s="8">
        <v>1.35</v>
      </c>
      <c r="BI9" s="15">
        <f t="shared" si="8"/>
        <v>2.592100000000001E-2</v>
      </c>
      <c r="BJ9" s="20" t="s">
        <v>155</v>
      </c>
    </row>
    <row r="10" spans="1:62">
      <c r="A10" s="20"/>
      <c r="B10" s="20"/>
      <c r="C10" s="20"/>
      <c r="D10" s="20"/>
      <c r="E10" s="8" t="s">
        <v>18</v>
      </c>
      <c r="F10" s="51">
        <v>358</v>
      </c>
      <c r="G10" s="8">
        <v>0.54</v>
      </c>
      <c r="J10" s="15" t="s">
        <v>45</v>
      </c>
      <c r="K10" s="15" t="s">
        <v>46</v>
      </c>
      <c r="L10" s="8" t="s">
        <v>22</v>
      </c>
      <c r="M10" s="15" t="s">
        <v>54</v>
      </c>
      <c r="N10" s="15" t="s">
        <v>63</v>
      </c>
      <c r="O10" s="15">
        <v>-2.1019999999999999</v>
      </c>
      <c r="P10" s="15">
        <v>0.122</v>
      </c>
      <c r="Q10" s="15">
        <v>-1.89</v>
      </c>
      <c r="R10" s="15">
        <v>8.1000000000000003E-2</v>
      </c>
      <c r="S10" s="15">
        <v>-0.21199999999999999</v>
      </c>
      <c r="T10" s="15">
        <v>0.14699999999999999</v>
      </c>
      <c r="U10" s="15">
        <v>2.1609E-2</v>
      </c>
      <c r="V10" s="8">
        <v>0.52</v>
      </c>
      <c r="W10" s="20">
        <f t="shared" si="0"/>
        <v>0.53582399999999997</v>
      </c>
      <c r="X10" s="20" t="s">
        <v>234</v>
      </c>
      <c r="Y10" s="20"/>
      <c r="Z10" s="20"/>
      <c r="AA10" s="46" t="s">
        <v>82</v>
      </c>
      <c r="AB10" s="46" t="s">
        <v>46</v>
      </c>
      <c r="AC10" s="8" t="s">
        <v>17</v>
      </c>
      <c r="AD10" s="46" t="s">
        <v>52</v>
      </c>
      <c r="AE10" s="46" t="s">
        <v>61</v>
      </c>
      <c r="AF10" s="15">
        <v>71.843000000000004</v>
      </c>
      <c r="AG10" s="15">
        <v>0.31900000000000001</v>
      </c>
      <c r="AH10" s="15">
        <v>70.042000000000002</v>
      </c>
      <c r="AI10" s="15">
        <v>6.8000000000000005E-2</v>
      </c>
      <c r="AJ10" s="15">
        <f t="shared" si="1"/>
        <v>1.8010000000000019</v>
      </c>
      <c r="AK10" s="15">
        <f t="shared" si="2"/>
        <v>0.32616713507035011</v>
      </c>
      <c r="AL10" s="15">
        <f t="shared" si="3"/>
        <v>0.10638500000000001</v>
      </c>
      <c r="AM10" s="8">
        <v>1.76</v>
      </c>
      <c r="AN10" s="15">
        <f t="shared" si="4"/>
        <v>1.6810000000001578E-3</v>
      </c>
      <c r="AO10" s="20" t="s">
        <v>242</v>
      </c>
      <c r="AP10" s="20"/>
      <c r="AV10" s="20" t="s">
        <v>101</v>
      </c>
      <c r="AW10" s="46" t="s">
        <v>46</v>
      </c>
      <c r="AX10" s="8" t="s">
        <v>17</v>
      </c>
      <c r="AY10" s="46" t="s">
        <v>52</v>
      </c>
      <c r="AZ10" s="46" t="s">
        <v>61</v>
      </c>
      <c r="BA10" s="15">
        <v>71.355999999999995</v>
      </c>
      <c r="BB10" s="15">
        <v>0.192</v>
      </c>
      <c r="BC10" s="15">
        <v>70.099999999999994</v>
      </c>
      <c r="BD10" s="15">
        <v>2.5000000000000001E-2</v>
      </c>
      <c r="BE10" s="15">
        <f t="shared" si="5"/>
        <v>1.2560000000000002</v>
      </c>
      <c r="BF10" s="15">
        <f t="shared" si="6"/>
        <v>0.19362076334938874</v>
      </c>
      <c r="BG10" s="15">
        <f t="shared" si="7"/>
        <v>3.7489000000000001E-2</v>
      </c>
      <c r="BH10" s="8">
        <v>1.76</v>
      </c>
      <c r="BI10" s="15">
        <f t="shared" si="8"/>
        <v>0.2540159999999998</v>
      </c>
      <c r="BJ10" s="20" t="s">
        <v>155</v>
      </c>
    </row>
    <row r="11" spans="1:62">
      <c r="A11" s="20"/>
      <c r="B11" s="48" t="s">
        <v>19</v>
      </c>
      <c r="C11" s="20"/>
      <c r="D11" s="20"/>
      <c r="E11" s="8" t="s">
        <v>20</v>
      </c>
      <c r="F11" s="51">
        <v>363</v>
      </c>
      <c r="G11" s="8">
        <v>-0.35</v>
      </c>
      <c r="J11" s="15" t="s">
        <v>45</v>
      </c>
      <c r="K11" s="15" t="s">
        <v>46</v>
      </c>
      <c r="L11" s="8" t="s">
        <v>23</v>
      </c>
      <c r="M11" s="15" t="s">
        <v>55</v>
      </c>
      <c r="N11" s="15" t="s">
        <v>64</v>
      </c>
      <c r="O11" s="15">
        <v>-4.7910000000000004</v>
      </c>
      <c r="P11" s="15">
        <v>0.129</v>
      </c>
      <c r="Q11" s="15">
        <v>-4.7380000000000004</v>
      </c>
      <c r="R11" s="15">
        <v>0.27800000000000002</v>
      </c>
      <c r="S11" s="15">
        <v>-5.2999999999999999E-2</v>
      </c>
      <c r="T11" s="15">
        <v>0.30626948900000001</v>
      </c>
      <c r="U11" s="15">
        <v>9.3800999999999995E-2</v>
      </c>
      <c r="V11" s="8">
        <v>1.08</v>
      </c>
      <c r="W11" s="20">
        <f t="shared" si="0"/>
        <v>1.2836890000000001</v>
      </c>
      <c r="X11" s="20" t="s">
        <v>234</v>
      </c>
      <c r="Y11" s="20"/>
      <c r="Z11" s="20"/>
      <c r="AA11" s="20" t="s">
        <v>82</v>
      </c>
      <c r="AB11" s="46" t="s">
        <v>46</v>
      </c>
      <c r="AC11" s="8" t="s">
        <v>18</v>
      </c>
      <c r="AD11" s="55" t="s">
        <v>85</v>
      </c>
      <c r="AE11" s="20" t="s">
        <v>91</v>
      </c>
      <c r="AF11" s="15">
        <v>-6.5830000000000002</v>
      </c>
      <c r="AG11" s="15">
        <v>0.23400000000000001</v>
      </c>
      <c r="AH11" s="15">
        <v>-7.016</v>
      </c>
      <c r="AI11" s="15">
        <v>0.11799999999999999</v>
      </c>
      <c r="AJ11" s="15">
        <f t="shared" si="1"/>
        <v>0.43299999999999983</v>
      </c>
      <c r="AK11" s="15">
        <f t="shared" si="2"/>
        <v>0.2620686932847951</v>
      </c>
      <c r="AL11" s="15">
        <f t="shared" si="3"/>
        <v>6.8680000000000005E-2</v>
      </c>
      <c r="AM11" s="8">
        <v>0.54</v>
      </c>
      <c r="AN11" s="15">
        <f t="shared" si="4"/>
        <v>1.1449000000000044E-2</v>
      </c>
      <c r="AO11" s="20" t="s">
        <v>239</v>
      </c>
      <c r="AP11" s="20"/>
      <c r="AV11" s="20" t="s">
        <v>101</v>
      </c>
      <c r="AW11" s="46" t="s">
        <v>46</v>
      </c>
      <c r="AX11" s="8" t="s">
        <v>18</v>
      </c>
      <c r="AY11" s="55" t="s">
        <v>85</v>
      </c>
      <c r="AZ11" s="20" t="s">
        <v>91</v>
      </c>
      <c r="BA11" s="15">
        <v>-6.3330000000000002</v>
      </c>
      <c r="BB11" s="15">
        <v>0.27700000000000002</v>
      </c>
      <c r="BC11" s="15">
        <v>-6.9560000000000004</v>
      </c>
      <c r="BD11" s="15">
        <v>8.2000000000000003E-2</v>
      </c>
      <c r="BE11" s="15">
        <f t="shared" si="5"/>
        <v>0.62300000000000022</v>
      </c>
      <c r="BF11" s="15">
        <f t="shared" si="6"/>
        <v>0.28888232898535005</v>
      </c>
      <c r="BG11" s="15">
        <f t="shared" si="7"/>
        <v>8.3453000000000013E-2</v>
      </c>
      <c r="BH11" s="8">
        <v>0.54</v>
      </c>
      <c r="BI11" s="15">
        <f t="shared" si="8"/>
        <v>6.8890000000000305E-3</v>
      </c>
      <c r="BJ11" s="20" t="s">
        <v>155</v>
      </c>
    </row>
    <row r="12" spans="1:62">
      <c r="A12" s="20" t="s">
        <v>21</v>
      </c>
      <c r="B12" s="49"/>
      <c r="C12" s="20"/>
      <c r="D12" s="20"/>
      <c r="E12" s="8" t="s">
        <v>22</v>
      </c>
      <c r="F12" s="51">
        <v>368</v>
      </c>
      <c r="G12" s="8">
        <v>0.52</v>
      </c>
      <c r="J12" s="15" t="s">
        <v>45</v>
      </c>
      <c r="K12" s="15" t="s">
        <v>46</v>
      </c>
      <c r="L12" s="8" t="s">
        <v>27</v>
      </c>
      <c r="M12" s="15" t="s">
        <v>28</v>
      </c>
      <c r="N12" s="15" t="s">
        <v>65</v>
      </c>
      <c r="O12" s="15">
        <v>-8.3170000000000002</v>
      </c>
      <c r="P12" s="15">
        <v>0.129</v>
      </c>
      <c r="Q12" s="15">
        <v>-8.484</v>
      </c>
      <c r="R12" s="15">
        <v>6.2E-2</v>
      </c>
      <c r="S12" s="15">
        <v>0.16700000000000001</v>
      </c>
      <c r="T12" s="15">
        <v>0.14295453799999999</v>
      </c>
      <c r="U12" s="15">
        <v>2.0435999999999999E-2</v>
      </c>
      <c r="V12" s="50">
        <v>-0.21</v>
      </c>
      <c r="W12" s="20">
        <f t="shared" si="0"/>
        <v>0.14212900000000001</v>
      </c>
      <c r="X12" s="20" t="s">
        <v>234</v>
      </c>
      <c r="Y12" s="20"/>
      <c r="Z12" s="20"/>
      <c r="AA12" s="46" t="s">
        <v>82</v>
      </c>
      <c r="AB12" s="46" t="s">
        <v>46</v>
      </c>
      <c r="AC12" s="8" t="s">
        <v>20</v>
      </c>
      <c r="AD12" s="46" t="s">
        <v>53</v>
      </c>
      <c r="AE12" s="46" t="s">
        <v>62</v>
      </c>
      <c r="AF12" s="15">
        <v>46.905999999999999</v>
      </c>
      <c r="AG12" s="15">
        <v>0.184</v>
      </c>
      <c r="AH12" s="15">
        <v>45.795000000000002</v>
      </c>
      <c r="AI12" s="15">
        <v>5.5E-2</v>
      </c>
      <c r="AJ12" s="15">
        <f t="shared" si="1"/>
        <v>1.1109999999999971</v>
      </c>
      <c r="AK12" s="15">
        <f t="shared" si="2"/>
        <v>0.19204426573058617</v>
      </c>
      <c r="AL12" s="15">
        <f t="shared" si="3"/>
        <v>3.688099999999999E-2</v>
      </c>
      <c r="AM12" s="8">
        <v>-0.35</v>
      </c>
      <c r="AN12" s="15">
        <f t="shared" si="4"/>
        <v>2.1345209999999919</v>
      </c>
      <c r="AO12" s="20" t="s">
        <v>242</v>
      </c>
      <c r="AP12" s="20"/>
      <c r="AV12" s="20" t="s">
        <v>101</v>
      </c>
      <c r="AW12" s="46" t="s">
        <v>46</v>
      </c>
      <c r="AX12" s="8" t="s">
        <v>20</v>
      </c>
      <c r="AY12" s="46" t="s">
        <v>53</v>
      </c>
      <c r="AZ12" s="46" t="s">
        <v>62</v>
      </c>
      <c r="BA12" s="15">
        <v>46.356999999999999</v>
      </c>
      <c r="BB12" s="15">
        <v>0.10100000000000001</v>
      </c>
      <c r="BC12" s="15">
        <v>45.561999999999998</v>
      </c>
      <c r="BD12" s="15">
        <v>8.1000000000000003E-2</v>
      </c>
      <c r="BE12" s="15">
        <f t="shared" si="5"/>
        <v>0.79500000000000171</v>
      </c>
      <c r="BF12" s="15">
        <f t="shared" si="6"/>
        <v>0.12946814279968646</v>
      </c>
      <c r="BG12" s="15">
        <f t="shared" si="7"/>
        <v>1.6762000000000006E-2</v>
      </c>
      <c r="BH12" s="8">
        <v>-0.35</v>
      </c>
      <c r="BI12" s="15">
        <f t="shared" si="8"/>
        <v>1.3110250000000041</v>
      </c>
      <c r="BJ12" s="20" t="s">
        <v>155</v>
      </c>
    </row>
    <row r="13" spans="1:62">
      <c r="A13" s="20"/>
      <c r="B13" s="20"/>
      <c r="C13" s="20"/>
      <c r="D13" s="20"/>
      <c r="E13" s="8" t="s">
        <v>23</v>
      </c>
      <c r="F13" s="51">
        <v>372</v>
      </c>
      <c r="G13" s="8">
        <v>1.08</v>
      </c>
      <c r="J13" s="15" t="s">
        <v>45</v>
      </c>
      <c r="K13" s="15" t="s">
        <v>46</v>
      </c>
      <c r="L13" s="8" t="s">
        <v>25</v>
      </c>
      <c r="M13" s="15" t="s">
        <v>87</v>
      </c>
      <c r="N13" s="15" t="s">
        <v>93</v>
      </c>
      <c r="O13" s="15">
        <v>71.927000000000007</v>
      </c>
      <c r="P13" s="15">
        <v>0.27500000000000002</v>
      </c>
      <c r="Q13" s="15">
        <v>69.840999999999994</v>
      </c>
      <c r="R13" s="15">
        <v>0.218</v>
      </c>
      <c r="S13" s="15">
        <v>2.0859999999999999</v>
      </c>
      <c r="T13" s="15">
        <v>0.35065937899999999</v>
      </c>
      <c r="U13" s="15">
        <v>0.122962</v>
      </c>
      <c r="V13" s="8">
        <v>1.1100000000000001</v>
      </c>
      <c r="W13" s="20">
        <f t="shared" si="0"/>
        <v>0.95257599999999953</v>
      </c>
      <c r="X13" s="20" t="s">
        <v>234</v>
      </c>
      <c r="Y13" s="20"/>
      <c r="Z13" s="20"/>
      <c r="AA13" s="46" t="s">
        <v>82</v>
      </c>
      <c r="AB13" s="46" t="s">
        <v>46</v>
      </c>
      <c r="AC13" s="8" t="s">
        <v>22</v>
      </c>
      <c r="AD13" s="46" t="s">
        <v>54</v>
      </c>
      <c r="AE13" s="46" t="s">
        <v>63</v>
      </c>
      <c r="AF13" s="15">
        <v>-2.1920000000000002</v>
      </c>
      <c r="AG13" s="15">
        <v>0.159</v>
      </c>
      <c r="AH13" s="15">
        <v>-2.2450000000000001</v>
      </c>
      <c r="AI13" s="15">
        <v>0.10299999999999999</v>
      </c>
      <c r="AJ13" s="15">
        <f t="shared" si="1"/>
        <v>5.2999999999999936E-2</v>
      </c>
      <c r="AK13" s="15">
        <f t="shared" si="2"/>
        <v>0.18944656238633625</v>
      </c>
      <c r="AL13" s="15">
        <f t="shared" si="3"/>
        <v>3.5889999999999991E-2</v>
      </c>
      <c r="AM13" s="8">
        <v>0.52</v>
      </c>
      <c r="AN13" s="15">
        <f t="shared" si="4"/>
        <v>0.21808900000000009</v>
      </c>
      <c r="AO13" s="20" t="s">
        <v>242</v>
      </c>
      <c r="AP13" s="20"/>
      <c r="AV13" s="20" t="s">
        <v>101</v>
      </c>
      <c r="AW13" s="46" t="s">
        <v>46</v>
      </c>
      <c r="AX13" s="8" t="s">
        <v>22</v>
      </c>
      <c r="AY13" s="46" t="s">
        <v>54</v>
      </c>
      <c r="AZ13" s="46" t="s">
        <v>63</v>
      </c>
      <c r="BA13" s="15">
        <v>-2.2810000000000001</v>
      </c>
      <c r="BB13" s="15">
        <v>5.7000000000000002E-2</v>
      </c>
      <c r="BC13" s="15">
        <v>-2.3380000000000001</v>
      </c>
      <c r="BD13" s="15">
        <v>8.2000000000000003E-2</v>
      </c>
      <c r="BE13" s="15">
        <f t="shared" si="5"/>
        <v>5.699999999999994E-2</v>
      </c>
      <c r="BF13" s="15">
        <f t="shared" si="6"/>
        <v>9.9864908751773271E-2</v>
      </c>
      <c r="BG13" s="15">
        <f t="shared" si="7"/>
        <v>9.973000000000001E-3</v>
      </c>
      <c r="BH13" s="8">
        <v>0.52</v>
      </c>
      <c r="BI13" s="15">
        <f t="shared" si="8"/>
        <v>0.21436900000000006</v>
      </c>
      <c r="BJ13" s="20" t="s">
        <v>155</v>
      </c>
    </row>
    <row r="14" spans="1:62">
      <c r="A14" s="20"/>
      <c r="B14" s="20"/>
      <c r="C14" s="20"/>
      <c r="D14" s="20"/>
      <c r="E14" s="42" t="s">
        <v>24</v>
      </c>
      <c r="F14" s="51">
        <v>402</v>
      </c>
      <c r="G14" s="8">
        <v>1.42</v>
      </c>
      <c r="J14" s="20"/>
      <c r="K14" s="20"/>
      <c r="L14" s="20"/>
      <c r="M14" s="20"/>
      <c r="N14" s="20"/>
      <c r="O14" s="20"/>
      <c r="P14" s="20"/>
      <c r="Q14" s="20"/>
      <c r="R14" s="20"/>
      <c r="S14" s="20"/>
      <c r="T14" s="20"/>
      <c r="U14" s="18" t="s">
        <v>67</v>
      </c>
      <c r="V14" s="18"/>
      <c r="W14" s="18" t="s">
        <v>67</v>
      </c>
      <c r="X14" s="20"/>
      <c r="Y14" s="20"/>
      <c r="Z14" s="20"/>
      <c r="AA14" s="46" t="s">
        <v>82</v>
      </c>
      <c r="AB14" s="46" t="s">
        <v>46</v>
      </c>
      <c r="AC14" s="8" t="s">
        <v>23</v>
      </c>
      <c r="AD14" s="46" t="s">
        <v>55</v>
      </c>
      <c r="AE14" s="46" t="s">
        <v>64</v>
      </c>
      <c r="AF14" s="15">
        <v>-4.4020000000000001</v>
      </c>
      <c r="AG14" s="15">
        <v>0.20300000000000001</v>
      </c>
      <c r="AH14" s="15">
        <v>-4.3949999999999996</v>
      </c>
      <c r="AI14" s="15">
        <v>0.108</v>
      </c>
      <c r="AJ14" s="15">
        <f t="shared" si="1"/>
        <v>-7.0000000000005613E-3</v>
      </c>
      <c r="AK14" s="15">
        <f t="shared" si="2"/>
        <v>0.22994129685639333</v>
      </c>
      <c r="AL14" s="15">
        <f t="shared" si="3"/>
        <v>5.2873000000000003E-2</v>
      </c>
      <c r="AM14" s="8">
        <v>1.08</v>
      </c>
      <c r="AN14" s="15">
        <f t="shared" si="4"/>
        <v>1.1815690000000014</v>
      </c>
      <c r="AO14" s="20" t="s">
        <v>242</v>
      </c>
      <c r="AP14" s="20"/>
      <c r="AV14" s="20" t="s">
        <v>101</v>
      </c>
      <c r="AW14" s="46" t="s">
        <v>46</v>
      </c>
      <c r="AX14" s="8" t="s">
        <v>23</v>
      </c>
      <c r="AY14" s="46" t="s">
        <v>55</v>
      </c>
      <c r="AZ14" s="46" t="s">
        <v>64</v>
      </c>
      <c r="BA14" s="15">
        <v>-3.681</v>
      </c>
      <c r="BB14" s="15">
        <v>0.11600000000000001</v>
      </c>
      <c r="BC14" s="15">
        <v>-4.391</v>
      </c>
      <c r="BD14" s="15">
        <v>5.8000000000000003E-2</v>
      </c>
      <c r="BE14" s="15">
        <f t="shared" si="5"/>
        <v>0.71</v>
      </c>
      <c r="BF14" s="15">
        <f t="shared" si="6"/>
        <v>0.12969194269498782</v>
      </c>
      <c r="BG14" s="15">
        <f t="shared" si="7"/>
        <v>1.6820000000000005E-2</v>
      </c>
      <c r="BH14" s="8">
        <v>1.08</v>
      </c>
      <c r="BI14" s="15">
        <f t="shared" si="8"/>
        <v>0.13690000000000008</v>
      </c>
      <c r="BJ14" s="20" t="s">
        <v>155</v>
      </c>
    </row>
    <row r="15" spans="1:62">
      <c r="A15" s="20"/>
      <c r="B15" s="20"/>
      <c r="C15" s="20"/>
      <c r="D15" s="20"/>
      <c r="E15" s="8" t="s">
        <v>27</v>
      </c>
      <c r="F15" s="52">
        <v>373</v>
      </c>
      <c r="G15" s="50">
        <v>-0.21</v>
      </c>
      <c r="J15" s="20"/>
      <c r="K15" s="20"/>
      <c r="L15" s="20"/>
      <c r="M15" s="20"/>
      <c r="N15" s="20"/>
      <c r="O15" s="20"/>
      <c r="P15" s="20"/>
      <c r="Q15" s="20"/>
      <c r="R15" s="20"/>
      <c r="S15" s="20"/>
      <c r="T15" s="20"/>
      <c r="U15" s="20">
        <f>SUM(U3:U13)</f>
        <v>1.0348649999999999</v>
      </c>
      <c r="V15" s="20"/>
      <c r="W15" s="20">
        <f>SUM(W3:W13)</f>
        <v>41.62034899999999</v>
      </c>
      <c r="X15" s="20"/>
      <c r="Y15" s="20"/>
      <c r="Z15" s="20"/>
      <c r="AA15" s="20" t="s">
        <v>101</v>
      </c>
      <c r="AB15" s="46" t="s">
        <v>46</v>
      </c>
      <c r="AC15" s="42" t="s">
        <v>24</v>
      </c>
      <c r="AD15" s="53" t="s">
        <v>86</v>
      </c>
      <c r="AE15" s="20" t="s">
        <v>92</v>
      </c>
      <c r="AF15" s="15">
        <v>-9.1530000000000005</v>
      </c>
      <c r="AG15" s="15">
        <v>0.252</v>
      </c>
      <c r="AH15" s="15">
        <v>-8.1880000000000006</v>
      </c>
      <c r="AI15" s="15">
        <v>6.5000000000000002E-2</v>
      </c>
      <c r="AJ15" s="15">
        <f t="shared" si="1"/>
        <v>-0.96499999999999986</v>
      </c>
      <c r="AK15" s="15">
        <f t="shared" si="2"/>
        <v>0.26024795868555822</v>
      </c>
      <c r="AL15" s="15">
        <f t="shared" si="3"/>
        <v>6.7729000000000025E-2</v>
      </c>
      <c r="AM15" s="8">
        <v>1.42</v>
      </c>
      <c r="AN15" s="15">
        <f t="shared" si="4"/>
        <v>5.6882249999999992</v>
      </c>
      <c r="AO15" s="20" t="s">
        <v>155</v>
      </c>
      <c r="AP15" s="20"/>
      <c r="AV15" s="20" t="s">
        <v>101</v>
      </c>
      <c r="AW15" s="46" t="s">
        <v>46</v>
      </c>
      <c r="AX15" s="42" t="s">
        <v>24</v>
      </c>
      <c r="AY15" s="53" t="s">
        <v>86</v>
      </c>
      <c r="AZ15" s="20" t="s">
        <v>92</v>
      </c>
      <c r="BA15" s="15">
        <v>-9.1530000000000005</v>
      </c>
      <c r="BB15" s="15">
        <v>0.252</v>
      </c>
      <c r="BC15" s="15">
        <v>-8.1880000000000006</v>
      </c>
      <c r="BD15" s="15">
        <v>6.5000000000000002E-2</v>
      </c>
      <c r="BE15" s="15">
        <f t="shared" si="5"/>
        <v>-0.96499999999999986</v>
      </c>
      <c r="BF15" s="15">
        <f t="shared" si="6"/>
        <v>0.26024795868555822</v>
      </c>
      <c r="BG15" s="15">
        <f t="shared" si="7"/>
        <v>6.7729000000000025E-2</v>
      </c>
      <c r="BH15" s="8">
        <v>1.42</v>
      </c>
      <c r="BI15" s="15">
        <f t="shared" si="8"/>
        <v>5.6882249999999992</v>
      </c>
      <c r="BJ15" s="20" t="s">
        <v>155</v>
      </c>
    </row>
    <row r="16" spans="1:62">
      <c r="A16" s="20"/>
      <c r="B16" s="20"/>
      <c r="C16" s="20"/>
      <c r="D16" s="20"/>
      <c r="E16" s="8" t="s">
        <v>25</v>
      </c>
      <c r="F16" s="51">
        <v>403</v>
      </c>
      <c r="G16" s="8">
        <v>1.1100000000000001</v>
      </c>
      <c r="J16" s="20"/>
      <c r="K16" s="20"/>
      <c r="L16" s="20"/>
      <c r="M16" s="20"/>
      <c r="N16" s="20"/>
      <c r="O16" s="20"/>
      <c r="P16" s="20"/>
      <c r="Q16" s="20"/>
      <c r="R16" s="20"/>
      <c r="S16" s="20"/>
      <c r="T16" s="20"/>
      <c r="U16" s="20"/>
      <c r="V16" s="20"/>
      <c r="W16" s="20"/>
      <c r="X16" s="20"/>
      <c r="Y16" s="20"/>
      <c r="Z16" s="20"/>
      <c r="AA16" s="46" t="s">
        <v>82</v>
      </c>
      <c r="AB16" s="46" t="s">
        <v>46</v>
      </c>
      <c r="AC16" s="8" t="s">
        <v>27</v>
      </c>
      <c r="AD16" s="46" t="s">
        <v>28</v>
      </c>
      <c r="AE16" s="46" t="s">
        <v>65</v>
      </c>
      <c r="AF16" s="15">
        <v>-8.2170000000000005</v>
      </c>
      <c r="AG16" s="15">
        <v>0.112</v>
      </c>
      <c r="AH16" s="15">
        <v>-8.6379999999999999</v>
      </c>
      <c r="AI16" s="15">
        <v>4.2999999999999997E-2</v>
      </c>
      <c r="AJ16" s="15">
        <f t="shared" si="1"/>
        <v>0.42099999999999937</v>
      </c>
      <c r="AK16" s="15">
        <f t="shared" si="2"/>
        <v>0.11997082978791136</v>
      </c>
      <c r="AL16" s="15">
        <f t="shared" si="3"/>
        <v>1.4393E-2</v>
      </c>
      <c r="AM16" s="50">
        <v>-0.21</v>
      </c>
      <c r="AN16" s="15">
        <f t="shared" si="4"/>
        <v>0.39816099999999915</v>
      </c>
      <c r="AO16" s="20" t="s">
        <v>242</v>
      </c>
      <c r="AP16" s="20"/>
      <c r="AV16" s="20" t="s">
        <v>101</v>
      </c>
      <c r="AW16" s="46" t="s">
        <v>46</v>
      </c>
      <c r="AX16" s="8" t="s">
        <v>27</v>
      </c>
      <c r="AY16" s="46" t="s">
        <v>28</v>
      </c>
      <c r="AZ16" s="46" t="s">
        <v>65</v>
      </c>
      <c r="BA16" s="15">
        <v>-8.2780000000000005</v>
      </c>
      <c r="BB16" s="15">
        <v>6.4000000000000001E-2</v>
      </c>
      <c r="BC16" s="15">
        <v>-8.4909999999999997</v>
      </c>
      <c r="BD16" s="15">
        <v>6.7000000000000004E-2</v>
      </c>
      <c r="BE16" s="15">
        <f t="shared" si="5"/>
        <v>0.21299999999999919</v>
      </c>
      <c r="BF16" s="15">
        <f t="shared" si="6"/>
        <v>9.2655275079188026E-2</v>
      </c>
      <c r="BG16" s="15">
        <f t="shared" si="7"/>
        <v>8.5850000000000024E-3</v>
      </c>
      <c r="BH16" s="50">
        <v>-0.21</v>
      </c>
      <c r="BI16" s="15">
        <f t="shared" si="8"/>
        <v>0.17892899999999928</v>
      </c>
      <c r="BJ16" s="20" t="s">
        <v>155</v>
      </c>
    </row>
    <row r="17" spans="1:62">
      <c r="A17" s="20"/>
      <c r="B17" s="20"/>
      <c r="C17" s="20"/>
      <c r="D17" s="20"/>
      <c r="E17" s="8" t="s">
        <v>26</v>
      </c>
      <c r="F17" s="51">
        <v>404</v>
      </c>
      <c r="G17" s="8">
        <v>4.45</v>
      </c>
      <c r="J17" s="20"/>
      <c r="K17" s="20"/>
      <c r="L17" s="20"/>
      <c r="M17" s="20"/>
      <c r="N17" s="20"/>
      <c r="O17" s="20"/>
      <c r="P17" s="20"/>
      <c r="Q17" s="20"/>
      <c r="R17" s="20"/>
      <c r="S17" s="20"/>
      <c r="T17" s="20"/>
      <c r="U17" s="20"/>
      <c r="V17" s="19" t="s">
        <v>68</v>
      </c>
      <c r="W17" s="20">
        <f>SQRT(W15/11)</f>
        <v>1.9451653119745607</v>
      </c>
      <c r="X17" s="20"/>
      <c r="Y17" s="20"/>
      <c r="Z17" s="20"/>
      <c r="AA17" s="46" t="s">
        <v>235</v>
      </c>
      <c r="AB17" s="46" t="s">
        <v>46</v>
      </c>
      <c r="AC17" s="8" t="s">
        <v>25</v>
      </c>
      <c r="AD17" s="46" t="s">
        <v>87</v>
      </c>
      <c r="AE17" s="46" t="s">
        <v>93</v>
      </c>
      <c r="AF17" s="15">
        <v>71.721999999999994</v>
      </c>
      <c r="AG17" s="15">
        <v>0.29499999999999998</v>
      </c>
      <c r="AH17" s="15">
        <v>70.009</v>
      </c>
      <c r="AI17" s="15">
        <v>0.104</v>
      </c>
      <c r="AJ17" s="15">
        <f t="shared" si="1"/>
        <v>1.7129999999999939</v>
      </c>
      <c r="AK17" s="15">
        <f t="shared" si="2"/>
        <v>0.31279546032511402</v>
      </c>
      <c r="AL17" s="15">
        <f t="shared" si="3"/>
        <v>9.7840999999999984E-2</v>
      </c>
      <c r="AM17" s="8">
        <v>1.1100000000000001</v>
      </c>
      <c r="AN17" s="15">
        <f t="shared" si="4"/>
        <v>0.36360899999999247</v>
      </c>
      <c r="AO17" s="20" t="s">
        <v>242</v>
      </c>
      <c r="AP17" s="20"/>
      <c r="AV17" s="20" t="s">
        <v>101</v>
      </c>
      <c r="AW17" s="46" t="s">
        <v>46</v>
      </c>
      <c r="AX17" s="8" t="s">
        <v>25</v>
      </c>
      <c r="AY17" s="46" t="s">
        <v>87</v>
      </c>
      <c r="AZ17" s="46" t="s">
        <v>93</v>
      </c>
      <c r="BA17" s="15">
        <v>69.941000000000003</v>
      </c>
      <c r="BB17" s="15">
        <v>0.314</v>
      </c>
      <c r="BC17" s="15">
        <v>69.125</v>
      </c>
      <c r="BD17" s="15">
        <v>0.155</v>
      </c>
      <c r="BE17" s="15">
        <f t="shared" si="5"/>
        <v>0.8160000000000025</v>
      </c>
      <c r="BF17" s="15">
        <f t="shared" si="6"/>
        <v>0.35017281447879417</v>
      </c>
      <c r="BG17" s="15">
        <f t="shared" si="7"/>
        <v>0.12262099999999999</v>
      </c>
      <c r="BH17" s="8">
        <v>1.1100000000000001</v>
      </c>
      <c r="BI17" s="15">
        <f t="shared" si="8"/>
        <v>8.6435999999998583E-2</v>
      </c>
      <c r="BJ17" s="20" t="s">
        <v>244</v>
      </c>
    </row>
    <row r="18" spans="1:62">
      <c r="J18" s="20"/>
      <c r="K18" s="20"/>
      <c r="L18" s="20"/>
      <c r="M18" s="20"/>
      <c r="N18" s="20"/>
      <c r="O18" s="20"/>
      <c r="P18" s="20"/>
      <c r="Q18" s="20"/>
      <c r="R18" s="20"/>
      <c r="S18" s="20"/>
      <c r="T18" s="20"/>
      <c r="U18" s="20"/>
      <c r="V18" s="19" t="s">
        <v>40</v>
      </c>
      <c r="W18" s="20">
        <f>SQRT(U15/11)</f>
        <v>0.30672240929484818</v>
      </c>
      <c r="X18" s="20"/>
      <c r="Y18" s="20"/>
      <c r="Z18" s="20"/>
      <c r="AA18" s="20" t="s">
        <v>101</v>
      </c>
      <c r="AB18" s="46" t="s">
        <v>46</v>
      </c>
      <c r="AC18" s="8" t="s">
        <v>26</v>
      </c>
      <c r="AD18" s="55" t="s">
        <v>88</v>
      </c>
      <c r="AE18" s="20" t="s">
        <v>94</v>
      </c>
      <c r="AF18" s="20">
        <v>-35.145000000000003</v>
      </c>
      <c r="AG18" s="20">
        <v>0.308</v>
      </c>
      <c r="AH18" s="20">
        <v>-39.378</v>
      </c>
      <c r="AI18" s="20">
        <v>0.28899999999999998</v>
      </c>
      <c r="AJ18" s="15">
        <f t="shared" si="1"/>
        <v>4.232999999999997</v>
      </c>
      <c r="AK18" s="15">
        <f t="shared" si="2"/>
        <v>0.42235648450094854</v>
      </c>
      <c r="AL18" s="15">
        <f t="shared" si="3"/>
        <v>0.17838499999999999</v>
      </c>
      <c r="AM18" s="8">
        <v>4.45</v>
      </c>
      <c r="AN18" s="15">
        <f t="shared" si="4"/>
        <v>4.7089000000001387E-2</v>
      </c>
      <c r="AO18" s="20" t="s">
        <v>240</v>
      </c>
      <c r="AP18" s="20"/>
      <c r="AV18" s="20" t="s">
        <v>101</v>
      </c>
      <c r="AW18" s="46" t="s">
        <v>46</v>
      </c>
      <c r="AX18" s="8" t="s">
        <v>26</v>
      </c>
      <c r="AY18" s="55" t="s">
        <v>88</v>
      </c>
      <c r="AZ18" s="20" t="s">
        <v>94</v>
      </c>
      <c r="BA18" s="20">
        <v>-35.145000000000003</v>
      </c>
      <c r="BB18" s="20">
        <v>0.308</v>
      </c>
      <c r="BC18" s="20">
        <v>-39.378</v>
      </c>
      <c r="BD18" s="20">
        <v>0.28899999999999998</v>
      </c>
      <c r="BE18" s="15">
        <f t="shared" si="5"/>
        <v>4.232999999999997</v>
      </c>
      <c r="BF18" s="15">
        <f t="shared" si="6"/>
        <v>0.42235648450094854</v>
      </c>
      <c r="BG18" s="15">
        <f t="shared" si="7"/>
        <v>0.17838499999999999</v>
      </c>
      <c r="BH18" s="8">
        <v>4.45</v>
      </c>
      <c r="BI18" s="15">
        <f t="shared" si="8"/>
        <v>4.7089000000001387E-2</v>
      </c>
      <c r="BJ18" s="20" t="s">
        <v>240</v>
      </c>
    </row>
    <row r="19" spans="1:62">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18" t="s">
        <v>67</v>
      </c>
      <c r="AM19" s="18"/>
      <c r="AN19" s="18" t="s">
        <v>67</v>
      </c>
      <c r="AO19" s="20"/>
      <c r="AP19" s="20"/>
      <c r="BE19" s="20"/>
      <c r="BF19" s="20"/>
      <c r="BG19" s="18" t="s">
        <v>67</v>
      </c>
      <c r="BH19" s="18"/>
      <c r="BI19" s="18" t="s">
        <v>67</v>
      </c>
    </row>
    <row r="20" spans="1:62">
      <c r="J20" s="20"/>
      <c r="K20" s="20"/>
      <c r="L20" s="20"/>
      <c r="M20" s="20"/>
      <c r="N20" s="20"/>
      <c r="O20" s="20"/>
      <c r="P20" s="20"/>
      <c r="Q20" s="20"/>
      <c r="R20" s="20"/>
      <c r="S20" s="20"/>
      <c r="T20" s="20"/>
      <c r="U20" s="20"/>
      <c r="V20" s="20"/>
      <c r="W20" s="20"/>
      <c r="X20" s="20"/>
      <c r="Y20" s="20"/>
      <c r="Z20" s="20"/>
      <c r="AA20" s="20"/>
      <c r="AB20" s="33"/>
      <c r="AC20" s="54"/>
      <c r="AD20" s="20"/>
      <c r="AE20" s="20"/>
      <c r="AF20" s="20"/>
      <c r="AG20" s="20"/>
      <c r="AH20" s="20"/>
      <c r="AI20" s="20"/>
      <c r="AJ20" s="20"/>
      <c r="AK20" s="20"/>
      <c r="AL20" s="20">
        <f>SUM(AL3:AL18)</f>
        <v>1.3527080000000002</v>
      </c>
      <c r="AM20" s="20"/>
      <c r="AN20" s="20">
        <f>SUM(AN3:AN18)</f>
        <v>17.556286999999969</v>
      </c>
      <c r="AO20" s="20"/>
      <c r="AP20" s="20"/>
      <c r="BE20" s="20"/>
      <c r="BF20" s="20"/>
      <c r="BG20" s="20">
        <f>SUM(BG3:BG18)</f>
        <v>1.1244529999999999</v>
      </c>
      <c r="BI20" s="20">
        <f>SUM(BI3:BI18)</f>
        <v>15.303331999999987</v>
      </c>
    </row>
    <row r="21" spans="1:62" ht="17">
      <c r="J21" s="10" t="s">
        <v>69</v>
      </c>
      <c r="AA21" s="20"/>
      <c r="AB21" s="33"/>
      <c r="AC21" s="54"/>
      <c r="AD21" s="20"/>
      <c r="AE21" s="20"/>
      <c r="AF21" s="20"/>
      <c r="AG21" s="20"/>
      <c r="AH21" s="20"/>
      <c r="AI21" s="20"/>
      <c r="AJ21" s="20"/>
      <c r="AK21" s="20"/>
      <c r="AL21" s="20"/>
      <c r="AM21" s="20"/>
      <c r="AN21" s="20"/>
      <c r="AO21" s="20"/>
      <c r="AP21" s="20"/>
    </row>
    <row r="22" spans="1:62">
      <c r="J22" s="12" t="s">
        <v>30</v>
      </c>
      <c r="K22" s="12" t="s">
        <v>31</v>
      </c>
      <c r="L22" s="13" t="s">
        <v>32</v>
      </c>
      <c r="M22" s="12" t="s">
        <v>33</v>
      </c>
      <c r="N22" s="12" t="s">
        <v>34</v>
      </c>
      <c r="O22" s="12" t="s">
        <v>35</v>
      </c>
      <c r="P22" s="12" t="s">
        <v>36</v>
      </c>
      <c r="Q22" s="12" t="s">
        <v>37</v>
      </c>
      <c r="R22" s="12" t="s">
        <v>38</v>
      </c>
      <c r="S22" s="12" t="s">
        <v>39</v>
      </c>
      <c r="T22" s="14" t="s">
        <v>40</v>
      </c>
      <c r="U22" s="12" t="s">
        <v>41</v>
      </c>
      <c r="V22" s="12" t="s">
        <v>42</v>
      </c>
      <c r="W22" s="12" t="s">
        <v>43</v>
      </c>
      <c r="X22" s="12" t="s">
        <v>44</v>
      </c>
      <c r="AA22" s="20"/>
      <c r="AB22" s="33"/>
      <c r="AC22" s="54"/>
      <c r="AD22" s="46"/>
      <c r="AE22" s="46"/>
      <c r="AF22" s="46"/>
      <c r="AG22" s="46"/>
      <c r="AH22" s="15"/>
      <c r="AI22" s="15"/>
      <c r="AJ22" s="20"/>
      <c r="AK22" s="20"/>
      <c r="AL22" s="20"/>
      <c r="AM22" s="19" t="s">
        <v>68</v>
      </c>
      <c r="AN22" s="20">
        <f>SQRT(AN20/16)</f>
        <v>1.0475055787440934</v>
      </c>
      <c r="AO22" s="20"/>
      <c r="AP22" s="20"/>
      <c r="BH22" s="19" t="s">
        <v>68</v>
      </c>
      <c r="BI22" s="20">
        <f>SQRT(BI20/16)</f>
        <v>0.97798683528971864</v>
      </c>
    </row>
    <row r="23" spans="1:62">
      <c r="J23" s="15" t="s">
        <v>45</v>
      </c>
      <c r="K23" s="15" t="s">
        <v>70</v>
      </c>
      <c r="L23" s="8" t="s">
        <v>4</v>
      </c>
      <c r="M23" s="15" t="s">
        <v>228</v>
      </c>
      <c r="N23" s="15" t="s">
        <v>229</v>
      </c>
      <c r="O23" s="15">
        <v>46.561</v>
      </c>
      <c r="P23" s="15">
        <v>0.14699999999999999</v>
      </c>
      <c r="Q23" s="15">
        <v>46.682000000000002</v>
      </c>
      <c r="R23" s="15">
        <v>8.6999999999999994E-2</v>
      </c>
      <c r="S23" s="15">
        <v>-0.121</v>
      </c>
      <c r="T23" s="15">
        <v>0.17105262299999999</v>
      </c>
      <c r="U23" s="15">
        <v>2.9259E-2</v>
      </c>
      <c r="V23" s="8">
        <v>-0.24</v>
      </c>
      <c r="W23" s="15">
        <f>(S23-V23)^2</f>
        <v>1.4160999999999998E-2</v>
      </c>
      <c r="X23" s="20" t="s">
        <v>234</v>
      </c>
      <c r="AA23" s="47"/>
      <c r="AB23" s="47"/>
      <c r="AC23" s="47"/>
      <c r="AD23" s="20"/>
      <c r="AE23" s="20"/>
      <c r="AF23" s="20"/>
      <c r="AG23" s="20"/>
      <c r="AH23" s="20"/>
      <c r="AI23" s="20"/>
      <c r="AJ23" s="20"/>
      <c r="AK23" s="20"/>
      <c r="AL23" s="20"/>
      <c r="AM23" s="19" t="s">
        <v>40</v>
      </c>
      <c r="AN23" s="20">
        <f>SQRT(AL20/16)</f>
        <v>0.29076493942702242</v>
      </c>
      <c r="AO23" s="20"/>
      <c r="AP23" s="20"/>
      <c r="BH23" s="19" t="s">
        <v>40</v>
      </c>
      <c r="BI23" s="20">
        <f>SQRT(BG20/16)</f>
        <v>0.26510057053880515</v>
      </c>
    </row>
    <row r="24" spans="1:62">
      <c r="J24" s="15" t="s">
        <v>45</v>
      </c>
      <c r="K24" s="15" t="s">
        <v>70</v>
      </c>
      <c r="L24" s="42" t="s">
        <v>6</v>
      </c>
      <c r="M24" s="15" t="s">
        <v>230</v>
      </c>
      <c r="N24" s="15" t="s">
        <v>231</v>
      </c>
      <c r="O24" s="15">
        <v>-8.4440000000000008</v>
      </c>
      <c r="P24" s="15">
        <v>0.104</v>
      </c>
      <c r="Q24" s="15">
        <v>-8.8620000000000001</v>
      </c>
      <c r="R24" s="15">
        <v>7.1999999999999995E-2</v>
      </c>
      <c r="S24" s="15">
        <v>0.41799999999999998</v>
      </c>
      <c r="T24" s="15">
        <v>0.126273513</v>
      </c>
      <c r="U24" s="15">
        <v>1.5945000000000001E-2</v>
      </c>
      <c r="V24" s="8">
        <v>0.97</v>
      </c>
      <c r="W24" s="15">
        <f>(S24-V24)^2</f>
        <v>0.30470400000000003</v>
      </c>
      <c r="X24" s="20" t="s">
        <v>234</v>
      </c>
      <c r="AA24" s="8"/>
      <c r="AB24" s="51"/>
      <c r="AC24" s="8"/>
      <c r="AD24" s="20"/>
      <c r="AE24" s="20"/>
      <c r="AF24" s="20"/>
      <c r="AG24" s="20"/>
      <c r="AH24" s="20"/>
      <c r="AI24" s="20"/>
      <c r="AJ24" s="20"/>
      <c r="AK24" s="20"/>
      <c r="AL24" s="20"/>
      <c r="AM24" s="20"/>
      <c r="AN24" s="20"/>
      <c r="AO24" s="20"/>
      <c r="AP24" s="20"/>
    </row>
    <row r="25" spans="1:62">
      <c r="J25" s="15" t="s">
        <v>45</v>
      </c>
      <c r="K25" s="15" t="s">
        <v>70</v>
      </c>
      <c r="L25" s="42" t="s">
        <v>8</v>
      </c>
      <c r="M25" s="15" t="s">
        <v>232</v>
      </c>
      <c r="N25" s="15" t="s">
        <v>76</v>
      </c>
      <c r="O25" s="15">
        <v>-8.5860000000000003</v>
      </c>
      <c r="P25" s="15">
        <v>6.3E-2</v>
      </c>
      <c r="Q25" s="15">
        <v>-8.5879999999999992</v>
      </c>
      <c r="R25" s="15">
        <v>6.6000000000000003E-2</v>
      </c>
      <c r="S25" s="15">
        <v>2E-3</v>
      </c>
      <c r="T25" s="15">
        <v>9.0807489000000005E-2</v>
      </c>
      <c r="U25" s="15">
        <v>8.2459999999999999E-3</v>
      </c>
      <c r="V25" s="8">
        <v>-0.15</v>
      </c>
      <c r="W25" s="15">
        <f>(S25-V25)^2</f>
        <v>2.3104E-2</v>
      </c>
      <c r="X25" s="20" t="s">
        <v>234</v>
      </c>
      <c r="AA25" s="8"/>
      <c r="AB25" s="51"/>
      <c r="AC25" s="8"/>
      <c r="AD25" s="20"/>
      <c r="AE25" s="20"/>
      <c r="AF25" s="20"/>
      <c r="AG25" s="20"/>
      <c r="AH25" s="20"/>
      <c r="AI25" s="20"/>
      <c r="AJ25" s="20"/>
      <c r="AK25" s="20"/>
      <c r="AL25" s="20"/>
      <c r="AM25" s="20"/>
      <c r="AN25" s="20"/>
      <c r="AO25" s="20"/>
      <c r="AP25" s="20"/>
    </row>
    <row r="26" spans="1:62" ht="17">
      <c r="J26" s="15" t="s">
        <v>45</v>
      </c>
      <c r="K26" s="15" t="s">
        <v>70</v>
      </c>
      <c r="L26" s="8" t="s">
        <v>12</v>
      </c>
      <c r="M26" s="15" t="s">
        <v>233</v>
      </c>
      <c r="N26" s="15" t="s">
        <v>105</v>
      </c>
      <c r="O26" s="15">
        <v>-24.277000000000001</v>
      </c>
      <c r="P26" s="15">
        <v>0.27900000000000003</v>
      </c>
      <c r="Q26" s="15">
        <v>-24.07</v>
      </c>
      <c r="R26" s="15">
        <v>0.23300000000000001</v>
      </c>
      <c r="S26" s="15">
        <v>-0.20699999999999999</v>
      </c>
      <c r="T26" s="15">
        <v>0.36334694200000001</v>
      </c>
      <c r="U26" s="15">
        <v>0.132021</v>
      </c>
      <c r="V26" s="8">
        <v>0.85</v>
      </c>
      <c r="W26" s="15">
        <f>(S26-V26)^2</f>
        <v>1.1172489999999999</v>
      </c>
      <c r="X26" s="20" t="s">
        <v>234</v>
      </c>
      <c r="AA26" s="10" t="s">
        <v>102</v>
      </c>
      <c r="AP26" s="20"/>
      <c r="AV26" s="10" t="s">
        <v>112</v>
      </c>
    </row>
    <row r="27" spans="1:62">
      <c r="J27" s="15" t="s">
        <v>45</v>
      </c>
      <c r="K27" s="15" t="s">
        <v>70</v>
      </c>
      <c r="L27" s="8" t="s">
        <v>14</v>
      </c>
      <c r="M27" s="15" t="s">
        <v>226</v>
      </c>
      <c r="N27" s="15" t="s">
        <v>227</v>
      </c>
      <c r="O27" s="15">
        <v>-10.670999999999999</v>
      </c>
      <c r="P27" s="15">
        <v>0.23100000000000001</v>
      </c>
      <c r="Q27" s="15">
        <v>-10.119999999999999</v>
      </c>
      <c r="R27" s="15">
        <v>0.10299999999999999</v>
      </c>
      <c r="S27" s="15">
        <v>-0.55100000000000005</v>
      </c>
      <c r="T27" s="15">
        <v>0.25312249999999997</v>
      </c>
      <c r="U27" s="15">
        <v>6.4071000000000003E-2</v>
      </c>
      <c r="V27" s="8">
        <v>-0.78</v>
      </c>
      <c r="W27" s="15">
        <f>(S27-V27)^2</f>
        <v>5.2440999999999995E-2</v>
      </c>
      <c r="X27" s="20" t="s">
        <v>234</v>
      </c>
      <c r="AA27" s="12" t="s">
        <v>30</v>
      </c>
      <c r="AB27" s="12" t="s">
        <v>31</v>
      </c>
      <c r="AC27" s="13" t="s">
        <v>32</v>
      </c>
      <c r="AD27" s="12" t="s">
        <v>33</v>
      </c>
      <c r="AE27" s="12" t="s">
        <v>34</v>
      </c>
      <c r="AF27" s="12" t="s">
        <v>35</v>
      </c>
      <c r="AG27" s="12" t="s">
        <v>36</v>
      </c>
      <c r="AH27" s="12" t="s">
        <v>37</v>
      </c>
      <c r="AI27" s="12" t="s">
        <v>38</v>
      </c>
      <c r="AJ27" s="12" t="s">
        <v>39</v>
      </c>
      <c r="AK27" s="14" t="s">
        <v>40</v>
      </c>
      <c r="AL27" s="12" t="s">
        <v>41</v>
      </c>
      <c r="AM27" s="12" t="s">
        <v>42</v>
      </c>
      <c r="AN27" s="12" t="s">
        <v>43</v>
      </c>
      <c r="AO27" s="12" t="s">
        <v>44</v>
      </c>
      <c r="AP27" s="20"/>
      <c r="AV27" s="12" t="s">
        <v>30</v>
      </c>
      <c r="AW27" s="12" t="s">
        <v>31</v>
      </c>
      <c r="AX27" s="13" t="s">
        <v>32</v>
      </c>
      <c r="AY27" s="12" t="s">
        <v>33</v>
      </c>
      <c r="AZ27" s="12" t="s">
        <v>34</v>
      </c>
      <c r="BA27" s="12" t="s">
        <v>35</v>
      </c>
      <c r="BB27" s="12" t="s">
        <v>36</v>
      </c>
      <c r="BC27" s="12" t="s">
        <v>37</v>
      </c>
      <c r="BD27" s="12" t="s">
        <v>38</v>
      </c>
      <c r="BE27" s="12" t="s">
        <v>39</v>
      </c>
      <c r="BF27" s="14" t="s">
        <v>40</v>
      </c>
      <c r="BG27" s="12" t="s">
        <v>41</v>
      </c>
      <c r="BH27" s="12" t="s">
        <v>42</v>
      </c>
      <c r="BI27" s="12" t="s">
        <v>43</v>
      </c>
      <c r="BJ27" s="12" t="s">
        <v>44</v>
      </c>
    </row>
    <row r="28" spans="1:62">
      <c r="J28" s="20"/>
      <c r="K28" s="20"/>
      <c r="L28" s="20"/>
      <c r="M28" s="20"/>
      <c r="N28" s="20"/>
      <c r="O28" s="20"/>
      <c r="P28" s="20"/>
      <c r="Q28" s="20"/>
      <c r="R28" s="20"/>
      <c r="S28" s="20"/>
      <c r="T28" s="20"/>
      <c r="U28" s="18" t="s">
        <v>67</v>
      </c>
      <c r="V28" s="18"/>
      <c r="W28" s="18" t="s">
        <v>67</v>
      </c>
      <c r="X28" s="20"/>
      <c r="AA28" s="44" t="s">
        <v>82</v>
      </c>
      <c r="AB28" s="44" t="s">
        <v>70</v>
      </c>
      <c r="AC28" s="8" t="s">
        <v>4</v>
      </c>
      <c r="AD28" s="51">
        <v>547</v>
      </c>
      <c r="AE28" s="44" t="s">
        <v>229</v>
      </c>
      <c r="AF28" s="45">
        <v>46.506999999999998</v>
      </c>
      <c r="AG28" s="45">
        <v>0.156</v>
      </c>
      <c r="AH28" s="45">
        <v>46.517000000000003</v>
      </c>
      <c r="AI28" s="45">
        <v>4.1000000000000002E-2</v>
      </c>
      <c r="AJ28" s="45">
        <f>(AF28-AH28)</f>
        <v>-1.0000000000005116E-2</v>
      </c>
      <c r="AK28" s="45">
        <f>SQRT((AG28)^2 + (AI28)^2)</f>
        <v>0.16129786111415118</v>
      </c>
      <c r="AL28" s="45">
        <f>AK28^2</f>
        <v>2.6017000000000002E-2</v>
      </c>
      <c r="AM28" s="8">
        <v>-0.24</v>
      </c>
      <c r="AN28" s="45">
        <f>(AJ28-AM28)^2</f>
        <v>5.2899999999997643E-2</v>
      </c>
      <c r="AO28" s="20" t="s">
        <v>242</v>
      </c>
      <c r="AP28" s="20"/>
      <c r="AV28" s="46" t="s">
        <v>101</v>
      </c>
      <c r="AW28" s="46" t="s">
        <v>70</v>
      </c>
      <c r="AX28" s="8" t="s">
        <v>4</v>
      </c>
      <c r="AY28" s="51">
        <v>547</v>
      </c>
      <c r="AZ28" s="44" t="s">
        <v>229</v>
      </c>
      <c r="BA28" s="15">
        <v>46.640999999999998</v>
      </c>
      <c r="BB28" s="15">
        <v>7.1999999999999995E-2</v>
      </c>
      <c r="BC28" s="15">
        <v>46.692999999999998</v>
      </c>
      <c r="BD28" s="15">
        <v>6.0999999999999999E-2</v>
      </c>
      <c r="BE28" s="15">
        <v>-5.1999999999999998E-2</v>
      </c>
      <c r="BF28" s="15">
        <v>9.4010637999999994E-2</v>
      </c>
      <c r="BG28" s="15">
        <v>8.8380000000000004E-3</v>
      </c>
      <c r="BH28" s="8">
        <v>-0.24</v>
      </c>
      <c r="BI28" s="15">
        <f>(BE28-BH28)^2</f>
        <v>3.5344E-2</v>
      </c>
      <c r="BJ28" s="20" t="s">
        <v>243</v>
      </c>
    </row>
    <row r="29" spans="1:62">
      <c r="J29" s="20"/>
      <c r="K29" s="20"/>
      <c r="L29" s="20"/>
      <c r="M29" s="20"/>
      <c r="N29" s="20"/>
      <c r="O29" s="20"/>
      <c r="P29" s="20"/>
      <c r="Q29" s="20"/>
      <c r="R29" s="20"/>
      <c r="S29" s="20"/>
      <c r="T29" s="20"/>
      <c r="U29" s="20">
        <f>SUM(U23:U27)</f>
        <v>0.24954199999999999</v>
      </c>
      <c r="V29" s="20"/>
      <c r="W29" s="20">
        <f>SUM(W23:W27)</f>
        <v>1.5116589999999999</v>
      </c>
      <c r="X29" s="20"/>
      <c r="AA29" s="44" t="s">
        <v>101</v>
      </c>
      <c r="AB29" s="44" t="s">
        <v>70</v>
      </c>
      <c r="AC29" s="42" t="s">
        <v>6</v>
      </c>
      <c r="AD29" s="51">
        <v>548</v>
      </c>
      <c r="AE29" s="44" t="s">
        <v>231</v>
      </c>
      <c r="AF29" s="45">
        <v>-8.8770000000000007</v>
      </c>
      <c r="AG29" s="45">
        <v>4.8000000000000001E-2</v>
      </c>
      <c r="AH29" s="45">
        <v>-8.7390000000000008</v>
      </c>
      <c r="AI29" s="45">
        <v>8.5000000000000006E-2</v>
      </c>
      <c r="AJ29" s="45">
        <f t="shared" ref="AJ29:AJ33" si="9">(AF29-AH29)</f>
        <v>-0.1379999999999999</v>
      </c>
      <c r="AK29" s="45">
        <f t="shared" ref="AK29:AK33" si="10">SQRT((AG29)^2 + (AI29)^2)</f>
        <v>9.7616596949494205E-2</v>
      </c>
      <c r="AL29" s="45">
        <f t="shared" ref="AL29:AL33" si="11">AK29^2</f>
        <v>9.529000000000001E-3</v>
      </c>
      <c r="AM29" s="8">
        <v>0.97</v>
      </c>
      <c r="AN29" s="45">
        <f t="shared" ref="AN29:AN33" si="12">(AJ29-AM29)^2</f>
        <v>1.2276639999999996</v>
      </c>
      <c r="AO29" s="20" t="s">
        <v>243</v>
      </c>
      <c r="AP29" s="20"/>
      <c r="AV29" s="46" t="s">
        <v>101</v>
      </c>
      <c r="AW29" s="46" t="s">
        <v>70</v>
      </c>
      <c r="AX29" s="42" t="s">
        <v>6</v>
      </c>
      <c r="AY29" s="51">
        <v>548</v>
      </c>
      <c r="AZ29" s="44" t="s">
        <v>231</v>
      </c>
      <c r="BA29" s="15">
        <v>-8.8770000000000007</v>
      </c>
      <c r="BB29" s="15">
        <v>4.8000000000000001E-2</v>
      </c>
      <c r="BC29" s="15">
        <v>-8.7390000000000008</v>
      </c>
      <c r="BD29" s="15">
        <v>8.5000000000000006E-2</v>
      </c>
      <c r="BE29" s="15">
        <f t="shared" ref="BE29:BE31" si="13">(BA29-BC29)</f>
        <v>-0.1379999999999999</v>
      </c>
      <c r="BF29" s="15">
        <f t="shared" ref="BF29:BF31" si="14">SQRT((BB29)^2 + (BD29)^2)</f>
        <v>9.7616596949494205E-2</v>
      </c>
      <c r="BG29" s="15">
        <f t="shared" ref="BG29:BG31" si="15">BF29^2</f>
        <v>9.529000000000001E-3</v>
      </c>
      <c r="BH29" s="8">
        <v>0.97</v>
      </c>
      <c r="BI29" s="15">
        <f t="shared" ref="BI29:BI33" si="16">(BE29-BH29)^2</f>
        <v>1.2276639999999996</v>
      </c>
      <c r="BJ29" s="20" t="s">
        <v>243</v>
      </c>
    </row>
    <row r="30" spans="1:62">
      <c r="J30" s="20"/>
      <c r="K30" s="20"/>
      <c r="L30" s="20"/>
      <c r="M30" s="20"/>
      <c r="N30" s="20"/>
      <c r="O30" s="20"/>
      <c r="P30" s="20"/>
      <c r="Q30" s="20"/>
      <c r="R30" s="20"/>
      <c r="S30" s="20"/>
      <c r="T30" s="20"/>
      <c r="U30" s="20"/>
      <c r="V30" s="20"/>
      <c r="W30" s="20"/>
      <c r="X30" s="20"/>
      <c r="AA30" s="44" t="s">
        <v>101</v>
      </c>
      <c r="AB30" s="44" t="s">
        <v>70</v>
      </c>
      <c r="AC30" s="42" t="s">
        <v>8</v>
      </c>
      <c r="AD30" s="51">
        <v>550</v>
      </c>
      <c r="AE30" s="44" t="s">
        <v>76</v>
      </c>
      <c r="AF30" s="45">
        <v>-8.2260000000000009</v>
      </c>
      <c r="AG30" s="45">
        <v>4.5999999999999999E-2</v>
      </c>
      <c r="AH30" s="45">
        <v>-8.1</v>
      </c>
      <c r="AI30" s="45">
        <v>0.09</v>
      </c>
      <c r="AJ30" s="45">
        <f t="shared" si="9"/>
        <v>-0.12600000000000122</v>
      </c>
      <c r="AK30" s="45">
        <f t="shared" si="10"/>
        <v>0.10107423014794621</v>
      </c>
      <c r="AL30" s="45">
        <f t="shared" si="11"/>
        <v>1.0215999999999999E-2</v>
      </c>
      <c r="AM30" s="8">
        <v>-0.15</v>
      </c>
      <c r="AN30" s="45">
        <f t="shared" si="12"/>
        <v>5.7599999999994103E-4</v>
      </c>
      <c r="AO30" s="20" t="s">
        <v>243</v>
      </c>
      <c r="AP30" s="20"/>
      <c r="AV30" s="46" t="s">
        <v>101</v>
      </c>
      <c r="AW30" s="46" t="s">
        <v>70</v>
      </c>
      <c r="AX30" s="42" t="s">
        <v>8</v>
      </c>
      <c r="AY30" s="51">
        <v>550</v>
      </c>
      <c r="AZ30" s="44" t="s">
        <v>76</v>
      </c>
      <c r="BA30" s="15">
        <v>-8.2260000000000009</v>
      </c>
      <c r="BB30" s="15">
        <v>4.5999999999999999E-2</v>
      </c>
      <c r="BC30" s="15">
        <v>-8.1</v>
      </c>
      <c r="BD30" s="15">
        <v>0.09</v>
      </c>
      <c r="BE30" s="15">
        <f t="shared" si="13"/>
        <v>-0.12600000000000122</v>
      </c>
      <c r="BF30" s="15">
        <f t="shared" si="14"/>
        <v>0.10107423014794621</v>
      </c>
      <c r="BG30" s="15">
        <f t="shared" si="15"/>
        <v>1.0215999999999999E-2</v>
      </c>
      <c r="BH30" s="8">
        <v>-0.15</v>
      </c>
      <c r="BI30" s="15">
        <f t="shared" si="16"/>
        <v>5.7599999999994103E-4</v>
      </c>
      <c r="BJ30" s="20" t="s">
        <v>243</v>
      </c>
    </row>
    <row r="31" spans="1:62">
      <c r="J31" s="20"/>
      <c r="K31" s="20"/>
      <c r="L31" s="20"/>
      <c r="M31" s="20"/>
      <c r="N31" s="20"/>
      <c r="O31" s="20"/>
      <c r="P31" s="20"/>
      <c r="Q31" s="20"/>
      <c r="R31" s="20"/>
      <c r="S31" s="20"/>
      <c r="T31" s="20"/>
      <c r="U31" s="20"/>
      <c r="V31" s="19" t="s">
        <v>68</v>
      </c>
      <c r="W31" s="20">
        <f>SQRT(W29/5)</f>
        <v>0.54984706964755203</v>
      </c>
      <c r="X31" s="20"/>
      <c r="AA31" s="44" t="s">
        <v>101</v>
      </c>
      <c r="AB31" s="44" t="s">
        <v>70</v>
      </c>
      <c r="AC31" s="42" t="s">
        <v>10</v>
      </c>
      <c r="AD31" s="51">
        <v>609</v>
      </c>
      <c r="AE31" s="44" t="s">
        <v>241</v>
      </c>
      <c r="AF31" s="45">
        <v>-5.4560000000000004</v>
      </c>
      <c r="AG31" s="45">
        <v>0.442</v>
      </c>
      <c r="AH31" s="45">
        <v>-8.2799999999999994</v>
      </c>
      <c r="AI31" s="45">
        <v>9.1999999999999998E-2</v>
      </c>
      <c r="AJ31" s="45">
        <f t="shared" si="9"/>
        <v>2.823999999999999</v>
      </c>
      <c r="AK31" s="45">
        <f t="shared" si="10"/>
        <v>0.45147314427327789</v>
      </c>
      <c r="AL31" s="45">
        <f t="shared" si="11"/>
        <v>0.20382800000000001</v>
      </c>
      <c r="AM31" s="8">
        <v>2.0099999999999998</v>
      </c>
      <c r="AN31" s="45">
        <f t="shared" si="12"/>
        <v>0.66259599999999863</v>
      </c>
      <c r="AO31" s="20" t="s">
        <v>244</v>
      </c>
      <c r="AP31" s="20"/>
      <c r="AV31" s="46" t="s">
        <v>101</v>
      </c>
      <c r="AW31" s="46" t="s">
        <v>70</v>
      </c>
      <c r="AX31" s="42" t="s">
        <v>10</v>
      </c>
      <c r="AY31" s="51">
        <v>609</v>
      </c>
      <c r="AZ31" s="44" t="s">
        <v>241</v>
      </c>
      <c r="BA31" s="15">
        <v>-5.4560000000000004</v>
      </c>
      <c r="BB31" s="15">
        <v>0.442</v>
      </c>
      <c r="BC31" s="15">
        <v>-8.2799999999999994</v>
      </c>
      <c r="BD31" s="15">
        <v>9.1999999999999998E-2</v>
      </c>
      <c r="BE31" s="15">
        <f t="shared" si="13"/>
        <v>2.823999999999999</v>
      </c>
      <c r="BF31" s="15">
        <f t="shared" si="14"/>
        <v>0.45147314427327789</v>
      </c>
      <c r="BG31" s="15">
        <f t="shared" si="15"/>
        <v>0.20382800000000001</v>
      </c>
      <c r="BH31" s="8">
        <v>2.0099999999999998</v>
      </c>
      <c r="BI31" s="15">
        <f t="shared" si="16"/>
        <v>0.66259599999999863</v>
      </c>
      <c r="BJ31" s="20" t="s">
        <v>244</v>
      </c>
    </row>
    <row r="32" spans="1:62">
      <c r="J32" s="20"/>
      <c r="K32" s="20"/>
      <c r="L32" s="20"/>
      <c r="M32" s="20"/>
      <c r="N32" s="20"/>
      <c r="O32" s="20"/>
      <c r="P32" s="20"/>
      <c r="Q32" s="20"/>
      <c r="R32" s="20"/>
      <c r="S32" s="20"/>
      <c r="T32" s="20"/>
      <c r="U32" s="20"/>
      <c r="V32" s="19" t="s">
        <v>40</v>
      </c>
      <c r="W32" s="20">
        <f>SQRT(U29/5)</f>
        <v>0.22340188002789949</v>
      </c>
      <c r="X32" s="20"/>
      <c r="AA32" s="44" t="s">
        <v>82</v>
      </c>
      <c r="AB32" s="44" t="s">
        <v>70</v>
      </c>
      <c r="AC32" s="8" t="s">
        <v>12</v>
      </c>
      <c r="AD32" s="51">
        <v>611</v>
      </c>
      <c r="AE32" s="20" t="s">
        <v>105</v>
      </c>
      <c r="AF32" s="45">
        <v>-24.513999999999999</v>
      </c>
      <c r="AG32" s="45">
        <v>0.28599999999999998</v>
      </c>
      <c r="AH32" s="45">
        <v>-24.052</v>
      </c>
      <c r="AI32" s="45">
        <v>0.17199999999999999</v>
      </c>
      <c r="AJ32" s="45">
        <f t="shared" si="9"/>
        <v>-0.46199999999999974</v>
      </c>
      <c r="AK32" s="45">
        <f t="shared" si="10"/>
        <v>0.33373642294481431</v>
      </c>
      <c r="AL32" s="45">
        <f t="shared" si="11"/>
        <v>0.11137999999999998</v>
      </c>
      <c r="AM32" s="8">
        <v>0.85</v>
      </c>
      <c r="AN32" s="45">
        <f t="shared" si="12"/>
        <v>1.7213439999999995</v>
      </c>
      <c r="AO32" s="20" t="s">
        <v>242</v>
      </c>
      <c r="AP32" s="20"/>
      <c r="AV32" s="46" t="s">
        <v>101</v>
      </c>
      <c r="AW32" s="46" t="s">
        <v>70</v>
      </c>
      <c r="AX32" s="8" t="s">
        <v>12</v>
      </c>
      <c r="AY32" s="51">
        <v>611</v>
      </c>
      <c r="AZ32" s="20" t="s">
        <v>105</v>
      </c>
      <c r="BA32" s="15">
        <v>-24.239000000000001</v>
      </c>
      <c r="BB32" s="15">
        <v>0.20799999999999999</v>
      </c>
      <c r="BC32" s="15">
        <v>-23.966000000000001</v>
      </c>
      <c r="BD32" s="15">
        <v>0.111</v>
      </c>
      <c r="BE32" s="15">
        <v>-0.27300000000000002</v>
      </c>
      <c r="BF32" s="15">
        <v>0.23565653</v>
      </c>
      <c r="BG32" s="15">
        <v>5.5534E-2</v>
      </c>
      <c r="BH32" s="8">
        <v>0.85</v>
      </c>
      <c r="BI32" s="15">
        <f t="shared" si="16"/>
        <v>1.2611289999999999</v>
      </c>
      <c r="BJ32" s="20" t="s">
        <v>243</v>
      </c>
    </row>
    <row r="33" spans="10:62">
      <c r="AA33" s="44" t="s">
        <v>82</v>
      </c>
      <c r="AB33" s="44" t="s">
        <v>70</v>
      </c>
      <c r="AC33" s="8" t="s">
        <v>14</v>
      </c>
      <c r="AD33" s="51">
        <v>523</v>
      </c>
      <c r="AE33" s="20" t="s">
        <v>227</v>
      </c>
      <c r="AF33" s="45">
        <v>-10.824</v>
      </c>
      <c r="AG33" s="45">
        <v>0.187</v>
      </c>
      <c r="AH33" s="45">
        <v>-10.196</v>
      </c>
      <c r="AI33" s="45">
        <v>5.6000000000000001E-2</v>
      </c>
      <c r="AJ33" s="45">
        <f t="shared" si="9"/>
        <v>-0.62800000000000011</v>
      </c>
      <c r="AK33" s="45">
        <f t="shared" si="10"/>
        <v>0.19520502042724208</v>
      </c>
      <c r="AL33" s="45">
        <f t="shared" si="11"/>
        <v>3.8105E-2</v>
      </c>
      <c r="AM33" s="8">
        <v>-0.78</v>
      </c>
      <c r="AN33" s="45">
        <f t="shared" si="12"/>
        <v>2.3103999999999975E-2</v>
      </c>
      <c r="AO33" s="20" t="s">
        <v>242</v>
      </c>
      <c r="AP33" s="20"/>
      <c r="AV33" s="46" t="s">
        <v>101</v>
      </c>
      <c r="AW33" s="46" t="s">
        <v>70</v>
      </c>
      <c r="AX33" s="8" t="s">
        <v>14</v>
      </c>
      <c r="AY33" s="51">
        <v>523</v>
      </c>
      <c r="AZ33" s="20" t="s">
        <v>227</v>
      </c>
      <c r="BA33" s="15">
        <v>-10.75</v>
      </c>
      <c r="BB33" s="15">
        <v>7.3999999999999996E-2</v>
      </c>
      <c r="BC33" s="15">
        <v>-9.9920000000000009</v>
      </c>
      <c r="BD33" s="15">
        <v>6.4000000000000001E-2</v>
      </c>
      <c r="BE33" s="15">
        <v>-0.75800000000000001</v>
      </c>
      <c r="BF33" s="15">
        <v>9.7780365999999994E-2</v>
      </c>
      <c r="BG33" s="15">
        <v>9.5610000000000001E-3</v>
      </c>
      <c r="BH33" s="8">
        <v>-0.78</v>
      </c>
      <c r="BI33" s="15">
        <f t="shared" si="16"/>
        <v>4.8400000000000087E-4</v>
      </c>
      <c r="BJ33" s="20" t="s">
        <v>243</v>
      </c>
    </row>
    <row r="34" spans="10:62">
      <c r="J34" s="20"/>
      <c r="K34" s="20"/>
      <c r="L34" s="20"/>
      <c r="M34" s="20"/>
      <c r="N34" s="20"/>
      <c r="O34" s="20"/>
      <c r="P34" s="20"/>
      <c r="Q34" s="20"/>
      <c r="R34" s="20"/>
      <c r="S34" s="20"/>
      <c r="T34" s="20"/>
      <c r="U34" s="20"/>
      <c r="V34" s="20"/>
      <c r="W34" s="20"/>
      <c r="X34" s="20"/>
      <c r="AA34" s="8"/>
      <c r="AB34" s="51"/>
      <c r="AC34" s="8"/>
      <c r="AD34" s="20"/>
      <c r="AE34" s="20"/>
      <c r="AF34" s="20"/>
      <c r="AG34" s="20"/>
      <c r="AH34" s="20"/>
      <c r="AI34" s="20"/>
      <c r="AJ34" s="20"/>
      <c r="AK34" s="20"/>
      <c r="AL34" s="18" t="s">
        <v>67</v>
      </c>
      <c r="AM34" s="18"/>
      <c r="AN34" s="18" t="s">
        <v>67</v>
      </c>
      <c r="AO34" s="20"/>
      <c r="AP34" s="20"/>
      <c r="BG34" s="18" t="s">
        <v>67</v>
      </c>
      <c r="BH34" s="18"/>
      <c r="BI34" s="18" t="s">
        <v>67</v>
      </c>
    </row>
    <row r="35" spans="10:62">
      <c r="J35" s="20"/>
      <c r="K35" s="20"/>
      <c r="L35" s="20"/>
      <c r="M35" s="20"/>
      <c r="N35" s="20"/>
      <c r="O35" s="20"/>
      <c r="P35" s="20"/>
      <c r="Q35" s="20"/>
      <c r="R35" s="20"/>
      <c r="S35" s="20"/>
      <c r="T35" s="20"/>
      <c r="U35" s="20"/>
      <c r="V35" s="20"/>
      <c r="W35" s="20"/>
      <c r="X35" s="20"/>
      <c r="AA35" s="8"/>
      <c r="AB35" s="51"/>
      <c r="AC35" s="8"/>
      <c r="AD35" s="20"/>
      <c r="AE35" s="20"/>
      <c r="AF35" s="20"/>
      <c r="AG35" s="20"/>
      <c r="AH35" s="20"/>
      <c r="AI35" s="20"/>
      <c r="AJ35" s="20"/>
      <c r="AK35" s="20"/>
      <c r="AL35" s="20">
        <f>SUM(AL28:AL33)</f>
        <v>0.39907500000000001</v>
      </c>
      <c r="AM35" s="20"/>
      <c r="AN35" s="20">
        <f>SUM(AN28:AN33)</f>
        <v>3.6881839999999952</v>
      </c>
      <c r="AO35" s="20"/>
      <c r="AP35" s="20"/>
      <c r="BG35" s="20">
        <f>SUM(BG28:BG33)</f>
        <v>0.29750599999999999</v>
      </c>
      <c r="BH35" s="20"/>
      <c r="BI35" s="20">
        <f>SUM(BI28:BI33)</f>
        <v>3.1877929999999983</v>
      </c>
    </row>
    <row r="36" spans="10:62">
      <c r="J36" s="20"/>
      <c r="K36" s="20"/>
      <c r="L36" s="20"/>
      <c r="M36" s="20"/>
      <c r="N36" s="20"/>
      <c r="O36" s="20"/>
      <c r="P36" s="20"/>
      <c r="Q36" s="20"/>
      <c r="R36" s="20"/>
      <c r="S36" s="20"/>
      <c r="T36" s="20"/>
      <c r="U36" s="20"/>
      <c r="V36" s="20"/>
      <c r="W36" s="20"/>
      <c r="X36" s="20"/>
      <c r="AA36" s="8"/>
      <c r="AB36" s="51"/>
      <c r="AC36" s="8"/>
      <c r="AD36" s="20"/>
      <c r="AE36" s="20"/>
      <c r="AF36" s="20"/>
      <c r="AG36" s="20"/>
      <c r="AH36" s="20"/>
      <c r="AI36" s="20"/>
      <c r="AJ36" s="20"/>
      <c r="AK36" s="20"/>
      <c r="AL36" s="20"/>
      <c r="AM36" s="20"/>
      <c r="AN36" s="20"/>
      <c r="AO36" s="20"/>
      <c r="AP36" s="20"/>
    </row>
    <row r="37" spans="10:62">
      <c r="J37" s="20"/>
      <c r="K37" s="20"/>
      <c r="L37" s="20"/>
      <c r="M37" s="20"/>
      <c r="N37" s="20"/>
      <c r="O37" s="20"/>
      <c r="P37" s="20"/>
      <c r="Q37" s="20"/>
      <c r="R37" s="20"/>
      <c r="S37" s="20"/>
      <c r="T37" s="20"/>
      <c r="U37" s="20"/>
      <c r="V37" s="20"/>
      <c r="W37" s="20"/>
      <c r="X37" s="20"/>
      <c r="AA37" s="8"/>
      <c r="AB37" s="52"/>
      <c r="AC37" s="50"/>
      <c r="AD37" s="20"/>
      <c r="AE37" s="20"/>
      <c r="AF37" s="20"/>
      <c r="AG37" s="20"/>
      <c r="AH37" s="20"/>
      <c r="AI37" s="20"/>
      <c r="AJ37" s="20"/>
      <c r="AK37" s="20"/>
      <c r="AL37" s="20"/>
      <c r="AM37" s="19" t="s">
        <v>68</v>
      </c>
      <c r="AN37" s="20">
        <f>SQRT(AN35/6)</f>
        <v>0.78402636010106985</v>
      </c>
      <c r="AO37" s="20"/>
      <c r="AP37" s="20"/>
      <c r="BH37" s="19" t="s">
        <v>68</v>
      </c>
      <c r="BI37" s="20">
        <f>SQRT(BI35/6)</f>
        <v>0.72890248547616643</v>
      </c>
    </row>
    <row r="38" spans="10:62" ht="17">
      <c r="J38" s="10" t="s">
        <v>79</v>
      </c>
      <c r="K38" s="20"/>
      <c r="L38" s="20"/>
      <c r="M38" s="20"/>
      <c r="N38" s="20"/>
      <c r="O38" s="20"/>
      <c r="P38" s="20"/>
      <c r="Q38" s="20"/>
      <c r="R38" s="20"/>
      <c r="S38" s="20"/>
      <c r="T38" s="20"/>
      <c r="U38" s="20"/>
      <c r="V38" s="20"/>
      <c r="W38" s="20"/>
      <c r="X38" s="20"/>
      <c r="AA38" s="8"/>
      <c r="AB38" s="51"/>
      <c r="AC38" s="8"/>
      <c r="AD38" s="20"/>
      <c r="AE38" s="20"/>
      <c r="AF38" s="20"/>
      <c r="AG38" s="20"/>
      <c r="AH38" s="20"/>
      <c r="AI38" s="20"/>
      <c r="AJ38" s="20"/>
      <c r="AK38" s="20"/>
      <c r="AL38" s="20"/>
      <c r="AM38" s="19" t="s">
        <v>40</v>
      </c>
      <c r="AN38" s="20">
        <f>SQRT(AL35/6)</f>
        <v>0.25790017448617597</v>
      </c>
      <c r="AO38" s="20"/>
      <c r="AP38" s="20"/>
      <c r="BD38" s="8"/>
      <c r="BH38" s="19" t="s">
        <v>40</v>
      </c>
      <c r="BI38" s="20">
        <f>SQRT(BG35/6)</f>
        <v>0.22267539903036737</v>
      </c>
    </row>
    <row r="39" spans="10:62">
      <c r="J39" s="12" t="s">
        <v>30</v>
      </c>
      <c r="K39" s="12" t="s">
        <v>31</v>
      </c>
      <c r="L39" s="13" t="s">
        <v>32</v>
      </c>
      <c r="M39" s="12" t="s">
        <v>33</v>
      </c>
      <c r="N39" s="12" t="s">
        <v>34</v>
      </c>
      <c r="O39" s="12" t="s">
        <v>35</v>
      </c>
      <c r="P39" s="12" t="s">
        <v>36</v>
      </c>
      <c r="Q39" s="12" t="s">
        <v>37</v>
      </c>
      <c r="R39" s="12" t="s">
        <v>38</v>
      </c>
      <c r="S39" s="12" t="s">
        <v>39</v>
      </c>
      <c r="T39" s="14" t="s">
        <v>40</v>
      </c>
      <c r="U39" s="12" t="s">
        <v>41</v>
      </c>
      <c r="V39" s="12" t="s">
        <v>42</v>
      </c>
      <c r="W39" s="12" t="s">
        <v>43</v>
      </c>
      <c r="X39" s="20"/>
      <c r="AA39" s="8"/>
      <c r="AB39" s="51"/>
      <c r="AC39" s="8"/>
      <c r="AD39" s="20"/>
      <c r="AE39" s="20"/>
      <c r="AF39" s="20"/>
      <c r="AG39" s="20"/>
      <c r="AH39" s="20"/>
      <c r="AI39" s="20"/>
      <c r="AJ39" s="20"/>
      <c r="AK39" s="20"/>
      <c r="AL39" s="20"/>
      <c r="AM39" s="20"/>
      <c r="AN39" s="20"/>
      <c r="AO39" s="20"/>
      <c r="AP39" s="20"/>
      <c r="BD39" s="8"/>
    </row>
    <row r="40" spans="10:62" ht="17">
      <c r="J40" s="15" t="s">
        <v>45</v>
      </c>
      <c r="K40" s="15" t="s">
        <v>46</v>
      </c>
      <c r="L40" s="8" t="s">
        <v>5</v>
      </c>
      <c r="M40" s="15" t="s">
        <v>47</v>
      </c>
      <c r="N40" s="15" t="s">
        <v>56</v>
      </c>
      <c r="O40" s="15">
        <v>-13.516</v>
      </c>
      <c r="P40" s="15">
        <v>0.36499999999999999</v>
      </c>
      <c r="Q40" s="15">
        <v>-13.941000000000001</v>
      </c>
      <c r="R40" s="15">
        <v>8.5999999999999993E-2</v>
      </c>
      <c r="S40" s="15">
        <v>0.42499999999999999</v>
      </c>
      <c r="T40" s="15">
        <v>0.37479994700000002</v>
      </c>
      <c r="U40" s="15">
        <v>0.14047499999999999</v>
      </c>
      <c r="V40" s="8">
        <v>-0.01</v>
      </c>
      <c r="W40" s="20">
        <f>(S40-V40)^2</f>
        <v>0.189225</v>
      </c>
      <c r="X40" s="20"/>
      <c r="AA40" s="10" t="s">
        <v>156</v>
      </c>
      <c r="AO40" s="20"/>
      <c r="AP40" s="20"/>
      <c r="BD40" s="8"/>
    </row>
    <row r="41" spans="10:62">
      <c r="J41" s="15" t="s">
        <v>45</v>
      </c>
      <c r="K41" s="15" t="s">
        <v>46</v>
      </c>
      <c r="L41" s="8" t="s">
        <v>9</v>
      </c>
      <c r="M41" s="15" t="s">
        <v>83</v>
      </c>
      <c r="N41" s="15" t="s">
        <v>89</v>
      </c>
      <c r="O41" s="15">
        <v>-30.213999999999999</v>
      </c>
      <c r="P41" s="15">
        <v>0.34799999999999998</v>
      </c>
      <c r="Q41" s="15">
        <v>-36.872999999999998</v>
      </c>
      <c r="R41" s="15">
        <v>0.19500000000000001</v>
      </c>
      <c r="S41" s="15">
        <v>6.6589999999999998</v>
      </c>
      <c r="T41" s="15">
        <v>0.39883329899999997</v>
      </c>
      <c r="U41" s="15">
        <v>0.15906799999999999</v>
      </c>
      <c r="V41" s="8">
        <v>1.19</v>
      </c>
      <c r="W41" s="20">
        <f t="shared" ref="W41:W50" si="17">(S41-V41)^2</f>
        <v>29.909960999999992</v>
      </c>
      <c r="AA41" s="12" t="s">
        <v>30</v>
      </c>
      <c r="AB41" s="12" t="s">
        <v>31</v>
      </c>
      <c r="AC41" s="13" t="s">
        <v>32</v>
      </c>
      <c r="AD41" s="12" t="s">
        <v>33</v>
      </c>
      <c r="AE41" s="12" t="s">
        <v>34</v>
      </c>
      <c r="AF41" s="12" t="s">
        <v>35</v>
      </c>
      <c r="AG41" s="12" t="s">
        <v>36</v>
      </c>
      <c r="AH41" s="12" t="s">
        <v>37</v>
      </c>
      <c r="AI41" s="12" t="s">
        <v>38</v>
      </c>
      <c r="AJ41" s="12" t="s">
        <v>39</v>
      </c>
      <c r="AK41" s="14" t="s">
        <v>40</v>
      </c>
      <c r="AL41" s="12" t="s">
        <v>41</v>
      </c>
      <c r="AM41" s="12" t="s">
        <v>42</v>
      </c>
      <c r="AN41" s="12" t="s">
        <v>43</v>
      </c>
      <c r="AO41" s="20"/>
      <c r="AP41" s="20"/>
      <c r="BD41" s="8"/>
    </row>
    <row r="42" spans="10:62" ht="17">
      <c r="J42" s="15" t="s">
        <v>45</v>
      </c>
      <c r="K42" s="15" t="s">
        <v>46</v>
      </c>
      <c r="L42" s="8" t="s">
        <v>13</v>
      </c>
      <c r="M42" s="15" t="s">
        <v>49</v>
      </c>
      <c r="N42" s="15" t="s">
        <v>58</v>
      </c>
      <c r="O42" s="15">
        <v>11.813000000000001</v>
      </c>
      <c r="P42" s="15">
        <v>0.222</v>
      </c>
      <c r="Q42" s="15">
        <v>11.468999999999999</v>
      </c>
      <c r="R42" s="15">
        <v>0.112</v>
      </c>
      <c r="S42" s="15">
        <v>0.34399999999999997</v>
      </c>
      <c r="T42" s="15">
        <v>0.248929709</v>
      </c>
      <c r="U42" s="15">
        <v>6.1966E-2</v>
      </c>
      <c r="V42" s="8">
        <v>-1.28</v>
      </c>
      <c r="W42" s="20">
        <f t="shared" si="17"/>
        <v>2.6373760000000002</v>
      </c>
      <c r="AA42" s="46" t="s">
        <v>235</v>
      </c>
      <c r="AB42" s="46" t="s">
        <v>46</v>
      </c>
      <c r="AC42" s="8" t="s">
        <v>5</v>
      </c>
      <c r="AD42" s="46" t="s">
        <v>47</v>
      </c>
      <c r="AE42" s="46" t="s">
        <v>56</v>
      </c>
      <c r="AF42" s="15">
        <v>-13.398999999999999</v>
      </c>
      <c r="AG42" s="15">
        <v>0.249</v>
      </c>
      <c r="AH42" s="15">
        <v>-13.057</v>
      </c>
      <c r="AI42" s="15">
        <v>0.16700000000000001</v>
      </c>
      <c r="AJ42" s="15">
        <f>(AF42-AH42)</f>
        <v>-0.34199999999999875</v>
      </c>
      <c r="AK42" s="15">
        <f>SQRT((AG42)^2 + (AI42)^2)</f>
        <v>0.29981661061388842</v>
      </c>
      <c r="AL42" s="15">
        <f>AK42^2</f>
        <v>8.9889999999999998E-2</v>
      </c>
      <c r="AM42" s="8">
        <v>-0.01</v>
      </c>
      <c r="AN42" s="15">
        <f>(AJ42-AM42)^2</f>
        <v>0.11022399999999917</v>
      </c>
      <c r="AO42" s="20"/>
      <c r="AP42" s="20"/>
      <c r="AV42" s="10" t="s">
        <v>113</v>
      </c>
    </row>
    <row r="43" spans="10:62">
      <c r="J43" s="15" t="s">
        <v>45</v>
      </c>
      <c r="K43" s="15" t="s">
        <v>46</v>
      </c>
      <c r="L43" s="8" t="s">
        <v>15</v>
      </c>
      <c r="M43" s="15" t="s">
        <v>50</v>
      </c>
      <c r="N43" s="15" t="s">
        <v>59</v>
      </c>
      <c r="O43" s="15">
        <v>14.416</v>
      </c>
      <c r="P43" s="15">
        <v>0.22600000000000001</v>
      </c>
      <c r="Q43" s="15">
        <v>13.404</v>
      </c>
      <c r="R43" s="15">
        <v>7.2999999999999995E-2</v>
      </c>
      <c r="S43" s="15">
        <v>1.012</v>
      </c>
      <c r="T43" s="15">
        <v>0.23788232400000001</v>
      </c>
      <c r="U43" s="15">
        <v>5.6587999999999999E-2</v>
      </c>
      <c r="V43" s="8">
        <v>1.26</v>
      </c>
      <c r="W43" s="20">
        <f t="shared" si="17"/>
        <v>6.1503999999999996E-2</v>
      </c>
      <c r="AA43" s="46" t="s">
        <v>235</v>
      </c>
      <c r="AB43" s="46" t="s">
        <v>46</v>
      </c>
      <c r="AC43" s="8" t="s">
        <v>7</v>
      </c>
      <c r="AD43" s="46" t="s">
        <v>48</v>
      </c>
      <c r="AE43" s="46" t="s">
        <v>57</v>
      </c>
      <c r="AF43" s="15">
        <v>10.939</v>
      </c>
      <c r="AG43" s="15">
        <v>0.183</v>
      </c>
      <c r="AH43" s="15">
        <v>11.262</v>
      </c>
      <c r="AI43" s="15">
        <v>0.254</v>
      </c>
      <c r="AJ43" s="15">
        <f t="shared" ref="AJ43:AJ57" si="18">(AF43-AH43)</f>
        <v>-0.3230000000000004</v>
      </c>
      <c r="AK43" s="15">
        <f t="shared" ref="AK43:AK57" si="19">SQRT((AG43)^2 + (AI43)^2)</f>
        <v>0.31305750270517396</v>
      </c>
      <c r="AL43" s="15">
        <f t="shared" ref="AL43:AL57" si="20">AK43^2</f>
        <v>9.8005000000000009E-2</v>
      </c>
      <c r="AM43" s="8">
        <v>0.7</v>
      </c>
      <c r="AN43" s="15">
        <f t="shared" ref="AN43:AN57" si="21">(AJ43-AM43)^2</f>
        <v>1.0465290000000007</v>
      </c>
      <c r="AO43" s="20"/>
      <c r="AP43" s="20"/>
      <c r="AV43" s="12" t="s">
        <v>30</v>
      </c>
      <c r="AW43" s="12" t="s">
        <v>31</v>
      </c>
      <c r="AX43" s="13" t="s">
        <v>32</v>
      </c>
      <c r="AY43" s="12" t="s">
        <v>33</v>
      </c>
      <c r="AZ43" s="12" t="s">
        <v>34</v>
      </c>
      <c r="BA43" s="12" t="s">
        <v>35</v>
      </c>
      <c r="BB43" s="12" t="s">
        <v>36</v>
      </c>
      <c r="BC43" s="12" t="s">
        <v>37</v>
      </c>
      <c r="BD43" s="12" t="s">
        <v>38</v>
      </c>
      <c r="BE43" s="12" t="s">
        <v>39</v>
      </c>
      <c r="BF43" s="14" t="s">
        <v>40</v>
      </c>
      <c r="BG43" s="12" t="s">
        <v>41</v>
      </c>
      <c r="BH43" s="12" t="s">
        <v>42</v>
      </c>
      <c r="BI43" s="12" t="s">
        <v>43</v>
      </c>
    </row>
    <row r="44" spans="10:62">
      <c r="J44" s="15" t="s">
        <v>45</v>
      </c>
      <c r="K44" s="15" t="s">
        <v>46</v>
      </c>
      <c r="L44" s="8" t="s">
        <v>16</v>
      </c>
      <c r="M44" s="15" t="s">
        <v>51</v>
      </c>
      <c r="N44" s="15" t="s">
        <v>60</v>
      </c>
      <c r="O44" s="15">
        <v>-5.8109999999999999</v>
      </c>
      <c r="P44" s="15">
        <v>0.34699999999999998</v>
      </c>
      <c r="Q44" s="15">
        <v>-6.1390000000000002</v>
      </c>
      <c r="R44" s="15">
        <v>5.2999999999999999E-2</v>
      </c>
      <c r="S44" s="15">
        <v>0.32800000000000001</v>
      </c>
      <c r="T44" s="15">
        <v>0.35097008400000002</v>
      </c>
      <c r="U44" s="15">
        <v>0.12318</v>
      </c>
      <c r="V44" s="8">
        <v>1.35</v>
      </c>
      <c r="W44" s="20">
        <f t="shared" si="17"/>
        <v>1.044484</v>
      </c>
      <c r="AA44" s="20" t="s">
        <v>101</v>
      </c>
      <c r="AB44" s="46" t="s">
        <v>46</v>
      </c>
      <c r="AC44" s="8" t="s">
        <v>9</v>
      </c>
      <c r="AD44" s="53" t="s">
        <v>83</v>
      </c>
      <c r="AE44" s="20" t="s">
        <v>89</v>
      </c>
      <c r="AF44" s="20">
        <v>-34.756</v>
      </c>
      <c r="AG44" s="20">
        <v>0.41899999999999998</v>
      </c>
      <c r="AH44" s="15">
        <v>-37.732999999999997</v>
      </c>
      <c r="AI44" s="15">
        <v>0.26400000000000001</v>
      </c>
      <c r="AJ44" s="15">
        <f t="shared" si="18"/>
        <v>2.9769999999999968</v>
      </c>
      <c r="AK44" s="15">
        <f t="shared" si="19"/>
        <v>0.49523428798902847</v>
      </c>
      <c r="AL44" s="15">
        <f t="shared" si="20"/>
        <v>0.24525699999999998</v>
      </c>
      <c r="AM44" s="8">
        <v>1.19</v>
      </c>
      <c r="AN44" s="15">
        <f t="shared" si="21"/>
        <v>3.1933689999999886</v>
      </c>
      <c r="AO44" s="20"/>
      <c r="AP44" s="20"/>
      <c r="AV44" s="46" t="s">
        <v>101</v>
      </c>
      <c r="AW44" s="46" t="s">
        <v>46</v>
      </c>
      <c r="AX44" s="8" t="s">
        <v>5</v>
      </c>
      <c r="AY44" s="46" t="s">
        <v>47</v>
      </c>
      <c r="AZ44" s="46" t="s">
        <v>56</v>
      </c>
      <c r="BA44" s="45">
        <v>-12.821</v>
      </c>
      <c r="BB44" s="45">
        <v>9.5000000000000001E-2</v>
      </c>
      <c r="BC44" s="45">
        <v>-13.186999999999999</v>
      </c>
      <c r="BD44" s="45">
        <v>0.24099999999999999</v>
      </c>
      <c r="BE44" s="15">
        <f>BA44-BC44</f>
        <v>0.36599999999999966</v>
      </c>
      <c r="BF44" s="15">
        <f>SQRT((BB44)^2 + (BD44)^2)</f>
        <v>0.25904825805243314</v>
      </c>
      <c r="BG44" s="15">
        <f>BF44^2</f>
        <v>6.7105999999999999E-2</v>
      </c>
      <c r="BH44" s="8">
        <v>-0.01</v>
      </c>
      <c r="BI44" s="15">
        <f>(BE44-BH44)^2</f>
        <v>0.14137599999999975</v>
      </c>
    </row>
    <row r="45" spans="10:62">
      <c r="J45" s="15" t="s">
        <v>45</v>
      </c>
      <c r="K45" s="15" t="s">
        <v>46</v>
      </c>
      <c r="L45" s="8" t="s">
        <v>17</v>
      </c>
      <c r="M45" s="15" t="s">
        <v>52</v>
      </c>
      <c r="N45" s="15" t="s">
        <v>61</v>
      </c>
      <c r="O45" s="15">
        <v>72.271000000000001</v>
      </c>
      <c r="P45" s="15">
        <v>0.33100000000000002</v>
      </c>
      <c r="Q45" s="15">
        <v>70.02</v>
      </c>
      <c r="R45" s="15">
        <v>0.09</v>
      </c>
      <c r="S45" s="15">
        <v>2.2509999999999999</v>
      </c>
      <c r="T45" s="15">
        <v>0.34257553899999998</v>
      </c>
      <c r="U45" s="15">
        <v>0.117358</v>
      </c>
      <c r="V45" s="8">
        <v>1.76</v>
      </c>
      <c r="W45" s="20">
        <f t="shared" si="17"/>
        <v>0.24108099999999988</v>
      </c>
      <c r="AA45" s="20" t="s">
        <v>101</v>
      </c>
      <c r="AB45" s="46" t="s">
        <v>46</v>
      </c>
      <c r="AC45" s="8" t="s">
        <v>11</v>
      </c>
      <c r="AD45" s="53" t="s">
        <v>84</v>
      </c>
      <c r="AE45" s="20" t="s">
        <v>90</v>
      </c>
      <c r="AF45" s="15">
        <v>-40.82</v>
      </c>
      <c r="AG45" s="15">
        <v>0.33</v>
      </c>
      <c r="AH45" s="15">
        <v>-41.286000000000001</v>
      </c>
      <c r="AI45" s="15">
        <v>0.107</v>
      </c>
      <c r="AJ45" s="15">
        <f t="shared" si="18"/>
        <v>0.46600000000000108</v>
      </c>
      <c r="AK45" s="15">
        <f t="shared" si="19"/>
        <v>0.34691353389569568</v>
      </c>
      <c r="AL45" s="15">
        <f t="shared" si="20"/>
        <v>0.120349</v>
      </c>
      <c r="AM45" s="8">
        <v>1.28</v>
      </c>
      <c r="AN45" s="15">
        <f t="shared" si="21"/>
        <v>0.6625959999999983</v>
      </c>
      <c r="AO45" s="20"/>
      <c r="AP45" s="20"/>
      <c r="AV45" s="46" t="s">
        <v>101</v>
      </c>
      <c r="AW45" s="46" t="s">
        <v>46</v>
      </c>
      <c r="AX45" s="8" t="s">
        <v>7</v>
      </c>
      <c r="AY45" s="46" t="s">
        <v>48</v>
      </c>
      <c r="AZ45" s="46" t="s">
        <v>57</v>
      </c>
      <c r="BA45" s="45">
        <v>10.983000000000001</v>
      </c>
      <c r="BB45" s="45">
        <v>0.105</v>
      </c>
      <c r="BC45" s="45">
        <v>11.526999999999999</v>
      </c>
      <c r="BD45" s="45">
        <v>0.17799999999999999</v>
      </c>
      <c r="BE45" s="15">
        <f t="shared" ref="BE45:BE59" si="22">BA45-BC45</f>
        <v>-0.54399999999999871</v>
      </c>
      <c r="BF45" s="15">
        <f t="shared" ref="BF45:BF59" si="23">SQRT((BB45)^2 + (BD45)^2)</f>
        <v>0.20666155907667008</v>
      </c>
      <c r="BG45" s="15">
        <f t="shared" ref="BG45:BG59" si="24">BF45^2</f>
        <v>4.2708999999999997E-2</v>
      </c>
      <c r="BH45" s="8">
        <v>0.7</v>
      </c>
      <c r="BI45" s="15">
        <f t="shared" ref="BI45:BI59" si="25">(BE45-BH45)^2</f>
        <v>1.5475359999999967</v>
      </c>
    </row>
    <row r="46" spans="10:62">
      <c r="J46" s="15" t="s">
        <v>45</v>
      </c>
      <c r="K46" s="15" t="s">
        <v>46</v>
      </c>
      <c r="L46" s="8" t="s">
        <v>20</v>
      </c>
      <c r="M46" s="15" t="s">
        <v>53</v>
      </c>
      <c r="N46" s="15" t="s">
        <v>62</v>
      </c>
      <c r="O46" s="15">
        <v>47.573999999999998</v>
      </c>
      <c r="P46" s="15">
        <v>0.33400000000000002</v>
      </c>
      <c r="Q46" s="15">
        <v>45.774000000000001</v>
      </c>
      <c r="R46" s="15">
        <v>7.6999999999999999E-2</v>
      </c>
      <c r="S46" s="15">
        <v>1.8</v>
      </c>
      <c r="T46" s="15">
        <v>0.34266893599999998</v>
      </c>
      <c r="U46" s="15">
        <v>0.117422</v>
      </c>
      <c r="V46" s="8">
        <v>-0.35</v>
      </c>
      <c r="W46" s="20">
        <f t="shared" si="17"/>
        <v>4.6224999999999996</v>
      </c>
      <c r="AA46" s="20" t="s">
        <v>82</v>
      </c>
      <c r="AB46" s="46" t="s">
        <v>46</v>
      </c>
      <c r="AC46" s="8" t="s">
        <v>13</v>
      </c>
      <c r="AD46" s="55" t="s">
        <v>49</v>
      </c>
      <c r="AE46" s="20" t="s">
        <v>58</v>
      </c>
      <c r="AF46" s="15">
        <v>11.664999999999999</v>
      </c>
      <c r="AG46" s="15">
        <v>0.20100000000000001</v>
      </c>
      <c r="AH46" s="15">
        <v>11.569000000000001</v>
      </c>
      <c r="AI46" s="15">
        <v>2.1000000000000001E-2</v>
      </c>
      <c r="AJ46" s="15">
        <f t="shared" si="18"/>
        <v>9.5999999999998309E-2</v>
      </c>
      <c r="AK46" s="15">
        <f t="shared" si="19"/>
        <v>0.20209403751719149</v>
      </c>
      <c r="AL46" s="15">
        <f t="shared" si="20"/>
        <v>4.0842000000000003E-2</v>
      </c>
      <c r="AM46" s="8">
        <v>-1.28</v>
      </c>
      <c r="AN46" s="15">
        <f t="shared" si="21"/>
        <v>1.8933759999999955</v>
      </c>
      <c r="AO46" s="20"/>
      <c r="AP46" s="20"/>
      <c r="AV46" s="20" t="s">
        <v>101</v>
      </c>
      <c r="AW46" s="46" t="s">
        <v>46</v>
      </c>
      <c r="AX46" s="8" t="s">
        <v>9</v>
      </c>
      <c r="AY46" s="53" t="s">
        <v>83</v>
      </c>
      <c r="AZ46" s="20" t="s">
        <v>89</v>
      </c>
      <c r="BA46" s="20">
        <v>-34.756</v>
      </c>
      <c r="BB46" s="20">
        <v>0.41899999999999998</v>
      </c>
      <c r="BC46" s="15">
        <v>-37.732999999999997</v>
      </c>
      <c r="BD46" s="15">
        <v>0.26400000000000001</v>
      </c>
      <c r="BE46" s="15">
        <f t="shared" si="22"/>
        <v>2.9769999999999968</v>
      </c>
      <c r="BF46" s="15">
        <f t="shared" si="23"/>
        <v>0.49523428798902847</v>
      </c>
      <c r="BG46" s="15">
        <f t="shared" si="24"/>
        <v>0.24525699999999998</v>
      </c>
      <c r="BH46" s="8">
        <v>1.19</v>
      </c>
      <c r="BI46" s="15">
        <f t="shared" si="25"/>
        <v>3.1933689999999886</v>
      </c>
    </row>
    <row r="47" spans="10:62">
      <c r="J47" s="15" t="s">
        <v>45</v>
      </c>
      <c r="K47" s="15" t="s">
        <v>46</v>
      </c>
      <c r="L47" s="8" t="s">
        <v>22</v>
      </c>
      <c r="M47" s="15" t="s">
        <v>54</v>
      </c>
      <c r="N47" s="15" t="s">
        <v>63</v>
      </c>
      <c r="O47" s="15">
        <v>-2.1019999999999999</v>
      </c>
      <c r="P47" s="15">
        <v>0.122</v>
      </c>
      <c r="Q47" s="15">
        <v>-1.89</v>
      </c>
      <c r="R47" s="15">
        <v>8.1000000000000003E-2</v>
      </c>
      <c r="S47" s="15">
        <v>-0.21199999999999999</v>
      </c>
      <c r="T47" s="15">
        <v>0.14699999999999999</v>
      </c>
      <c r="U47" s="15">
        <v>2.1609E-2</v>
      </c>
      <c r="V47" s="8">
        <v>0.52</v>
      </c>
      <c r="W47" s="20">
        <f t="shared" si="17"/>
        <v>0.53582399999999997</v>
      </c>
      <c r="AA47" s="46" t="s">
        <v>82</v>
      </c>
      <c r="AB47" s="46" t="s">
        <v>46</v>
      </c>
      <c r="AC47" s="8" t="s">
        <v>15</v>
      </c>
      <c r="AD47" s="46" t="s">
        <v>50</v>
      </c>
      <c r="AE47" s="46" t="s">
        <v>59</v>
      </c>
      <c r="AF47" s="15">
        <v>14.804</v>
      </c>
      <c r="AG47" s="15">
        <v>0.19500000000000001</v>
      </c>
      <c r="AH47" s="15">
        <v>13.321999999999999</v>
      </c>
      <c r="AI47" s="15">
        <v>0.20899999999999999</v>
      </c>
      <c r="AJ47" s="15">
        <f t="shared" si="18"/>
        <v>1.4820000000000011</v>
      </c>
      <c r="AK47" s="15">
        <f t="shared" si="19"/>
        <v>0.28584261403786526</v>
      </c>
      <c r="AL47" s="15">
        <f t="shared" si="20"/>
        <v>8.1706000000000001E-2</v>
      </c>
      <c r="AM47" s="8">
        <v>1.26</v>
      </c>
      <c r="AN47" s="15">
        <f t="shared" si="21"/>
        <v>4.928400000000048E-2</v>
      </c>
      <c r="AO47" s="20"/>
      <c r="AP47" s="20"/>
      <c r="AV47" s="20" t="s">
        <v>101</v>
      </c>
      <c r="AW47" s="46" t="s">
        <v>46</v>
      </c>
      <c r="AX47" s="8" t="s">
        <v>11</v>
      </c>
      <c r="AY47" s="53" t="s">
        <v>84</v>
      </c>
      <c r="AZ47" s="20" t="s">
        <v>90</v>
      </c>
      <c r="BA47" s="15">
        <v>-40.82</v>
      </c>
      <c r="BB47" s="15">
        <v>0.33</v>
      </c>
      <c r="BC47" s="15">
        <v>-41.286000000000001</v>
      </c>
      <c r="BD47" s="15">
        <v>0.107</v>
      </c>
      <c r="BE47" s="15">
        <f t="shared" si="22"/>
        <v>0.46600000000000108</v>
      </c>
      <c r="BF47" s="15">
        <f t="shared" si="23"/>
        <v>0.34691353389569568</v>
      </c>
      <c r="BG47" s="15">
        <f t="shared" si="24"/>
        <v>0.120349</v>
      </c>
      <c r="BH47" s="8">
        <v>1.28</v>
      </c>
      <c r="BI47" s="15">
        <f t="shared" si="25"/>
        <v>0.6625959999999983</v>
      </c>
    </row>
    <row r="48" spans="10:62">
      <c r="J48" s="15" t="s">
        <v>45</v>
      </c>
      <c r="K48" s="15" t="s">
        <v>46</v>
      </c>
      <c r="L48" s="8" t="s">
        <v>23</v>
      </c>
      <c r="M48" s="15" t="s">
        <v>55</v>
      </c>
      <c r="N48" s="15" t="s">
        <v>64</v>
      </c>
      <c r="O48" s="15">
        <v>-4.7910000000000004</v>
      </c>
      <c r="P48" s="15">
        <v>0.129</v>
      </c>
      <c r="Q48" s="15">
        <v>-4.7380000000000004</v>
      </c>
      <c r="R48" s="15">
        <v>0.27800000000000002</v>
      </c>
      <c r="S48" s="15">
        <v>-5.2999999999999999E-2</v>
      </c>
      <c r="T48" s="15">
        <v>0.30626948900000001</v>
      </c>
      <c r="U48" s="15">
        <v>9.3800999999999995E-2</v>
      </c>
      <c r="V48" s="8">
        <v>1.08</v>
      </c>
      <c r="W48" s="20">
        <f t="shared" si="17"/>
        <v>1.2836890000000001</v>
      </c>
      <c r="AA48" s="46" t="s">
        <v>82</v>
      </c>
      <c r="AB48" s="46" t="s">
        <v>46</v>
      </c>
      <c r="AC48" s="8" t="s">
        <v>16</v>
      </c>
      <c r="AD48" s="46" t="s">
        <v>51</v>
      </c>
      <c r="AE48" s="46" t="s">
        <v>60</v>
      </c>
      <c r="AF48" s="15">
        <v>-5.4770000000000003</v>
      </c>
      <c r="AG48" s="15">
        <v>0.129</v>
      </c>
      <c r="AH48" s="15">
        <v>-6.0810000000000004</v>
      </c>
      <c r="AI48" s="15">
        <v>3.1E-2</v>
      </c>
      <c r="AJ48" s="15">
        <f t="shared" si="18"/>
        <v>0.60400000000000009</v>
      </c>
      <c r="AK48" s="15">
        <f t="shared" si="19"/>
        <v>0.13267252918370101</v>
      </c>
      <c r="AL48" s="15">
        <f t="shared" si="20"/>
        <v>1.7601999999999996E-2</v>
      </c>
      <c r="AM48" s="8">
        <v>1.35</v>
      </c>
      <c r="AN48" s="15">
        <f t="shared" si="21"/>
        <v>0.55651600000000001</v>
      </c>
      <c r="AO48" s="20"/>
      <c r="AP48" s="20"/>
      <c r="AV48" s="20" t="s">
        <v>101</v>
      </c>
      <c r="AW48" s="46" t="s">
        <v>46</v>
      </c>
      <c r="AX48" s="8" t="s">
        <v>13</v>
      </c>
      <c r="AY48" s="55" t="s">
        <v>49</v>
      </c>
      <c r="AZ48" s="20" t="s">
        <v>58</v>
      </c>
      <c r="BA48" s="45">
        <v>11.759</v>
      </c>
      <c r="BB48" s="45">
        <v>0.193</v>
      </c>
      <c r="BC48" s="45">
        <v>11.755000000000001</v>
      </c>
      <c r="BD48" s="45">
        <v>5.0999999999999997E-2</v>
      </c>
      <c r="BE48" s="15">
        <f t="shared" si="22"/>
        <v>3.9999999999995595E-3</v>
      </c>
      <c r="BF48" s="15">
        <f t="shared" si="23"/>
        <v>0.1996246477767713</v>
      </c>
      <c r="BG48" s="15">
        <f t="shared" si="24"/>
        <v>3.9850000000000003E-2</v>
      </c>
      <c r="BH48" s="8">
        <v>-1.28</v>
      </c>
      <c r="BI48" s="15">
        <f t="shared" si="25"/>
        <v>1.648655999999999</v>
      </c>
    </row>
    <row r="49" spans="10:61">
      <c r="J49" s="15" t="s">
        <v>45</v>
      </c>
      <c r="K49" s="15" t="s">
        <v>46</v>
      </c>
      <c r="L49" s="8" t="s">
        <v>27</v>
      </c>
      <c r="M49" s="15" t="s">
        <v>28</v>
      </c>
      <c r="N49" s="15" t="s">
        <v>65</v>
      </c>
      <c r="O49" s="15">
        <v>-8.3170000000000002</v>
      </c>
      <c r="P49" s="15">
        <v>0.129</v>
      </c>
      <c r="Q49" s="15">
        <v>-8.484</v>
      </c>
      <c r="R49" s="15">
        <v>6.2E-2</v>
      </c>
      <c r="S49" s="15">
        <v>0.16700000000000001</v>
      </c>
      <c r="T49" s="15">
        <v>0.14295453799999999</v>
      </c>
      <c r="U49" s="15">
        <v>2.0435999999999999E-2</v>
      </c>
      <c r="V49" s="50">
        <v>-0.21</v>
      </c>
      <c r="W49" s="20">
        <f t="shared" si="17"/>
        <v>0.14212900000000001</v>
      </c>
      <c r="AA49" s="46" t="s">
        <v>82</v>
      </c>
      <c r="AB49" s="46" t="s">
        <v>46</v>
      </c>
      <c r="AC49" s="8" t="s">
        <v>17</v>
      </c>
      <c r="AD49" s="46" t="s">
        <v>52</v>
      </c>
      <c r="AE49" s="46" t="s">
        <v>61</v>
      </c>
      <c r="AF49" s="15">
        <v>71.843000000000004</v>
      </c>
      <c r="AG49" s="15">
        <v>0.31900000000000001</v>
      </c>
      <c r="AH49" s="15">
        <v>70.042000000000002</v>
      </c>
      <c r="AI49" s="15">
        <v>6.8000000000000005E-2</v>
      </c>
      <c r="AJ49" s="15">
        <f t="shared" si="18"/>
        <v>1.8010000000000019</v>
      </c>
      <c r="AK49" s="15">
        <f t="shared" si="19"/>
        <v>0.32616713507035011</v>
      </c>
      <c r="AL49" s="15">
        <f t="shared" si="20"/>
        <v>0.10638500000000001</v>
      </c>
      <c r="AM49" s="8">
        <v>1.76</v>
      </c>
      <c r="AN49" s="15">
        <f t="shared" si="21"/>
        <v>1.6810000000001578E-3</v>
      </c>
      <c r="AO49" s="20"/>
      <c r="AP49" s="20"/>
      <c r="AV49" s="20" t="s">
        <v>101</v>
      </c>
      <c r="AW49" s="46" t="s">
        <v>46</v>
      </c>
      <c r="AX49" s="8" t="s">
        <v>15</v>
      </c>
      <c r="AY49" s="46" t="s">
        <v>50</v>
      </c>
      <c r="AZ49" s="46" t="s">
        <v>59</v>
      </c>
      <c r="BA49" s="45">
        <v>15.079000000000001</v>
      </c>
      <c r="BB49" s="45">
        <v>0.20399999999999999</v>
      </c>
      <c r="BC49" s="45">
        <v>13.419</v>
      </c>
      <c r="BD49" s="45">
        <v>8.5999999999999993E-2</v>
      </c>
      <c r="BE49" s="15">
        <f t="shared" si="22"/>
        <v>1.6600000000000001</v>
      </c>
      <c r="BF49" s="15">
        <f t="shared" si="23"/>
        <v>0.22138653978957257</v>
      </c>
      <c r="BG49" s="15">
        <f t="shared" si="24"/>
        <v>4.9012E-2</v>
      </c>
      <c r="BH49" s="8">
        <v>1.26</v>
      </c>
      <c r="BI49" s="15">
        <f t="shared" si="25"/>
        <v>0.16000000000000011</v>
      </c>
    </row>
    <row r="50" spans="10:61">
      <c r="J50" s="15" t="s">
        <v>45</v>
      </c>
      <c r="K50" s="15" t="s">
        <v>46</v>
      </c>
      <c r="L50" s="8" t="s">
        <v>25</v>
      </c>
      <c r="M50" s="15" t="s">
        <v>87</v>
      </c>
      <c r="N50" s="15" t="s">
        <v>93</v>
      </c>
      <c r="O50" s="15">
        <v>71.927000000000007</v>
      </c>
      <c r="P50" s="15">
        <v>0.27500000000000002</v>
      </c>
      <c r="Q50" s="15">
        <v>69.840999999999994</v>
      </c>
      <c r="R50" s="15">
        <v>0.218</v>
      </c>
      <c r="S50" s="15">
        <v>2.0859999999999999</v>
      </c>
      <c r="T50" s="15">
        <v>0.35065937899999999</v>
      </c>
      <c r="U50" s="15">
        <v>0.122962</v>
      </c>
      <c r="V50" s="8">
        <v>1.1100000000000001</v>
      </c>
      <c r="W50" s="20">
        <f t="shared" si="17"/>
        <v>0.95257599999999953</v>
      </c>
      <c r="AA50" s="20" t="s">
        <v>82</v>
      </c>
      <c r="AB50" s="46" t="s">
        <v>46</v>
      </c>
      <c r="AC50" s="8" t="s">
        <v>18</v>
      </c>
      <c r="AD50" s="55" t="s">
        <v>85</v>
      </c>
      <c r="AE50" s="20" t="s">
        <v>91</v>
      </c>
      <c r="AF50" s="15">
        <v>-6.5830000000000002</v>
      </c>
      <c r="AG50" s="15">
        <v>0.23400000000000001</v>
      </c>
      <c r="AH50" s="15">
        <v>-7.016</v>
      </c>
      <c r="AI50" s="15">
        <v>0.11799999999999999</v>
      </c>
      <c r="AJ50" s="15">
        <f t="shared" si="18"/>
        <v>0.43299999999999983</v>
      </c>
      <c r="AK50" s="15">
        <f t="shared" si="19"/>
        <v>0.2620686932847951</v>
      </c>
      <c r="AL50" s="15">
        <f t="shared" si="20"/>
        <v>6.8680000000000005E-2</v>
      </c>
      <c r="AM50" s="8">
        <v>0.54</v>
      </c>
      <c r="AN50" s="15">
        <f t="shared" si="21"/>
        <v>1.1449000000000044E-2</v>
      </c>
      <c r="AO50" s="20"/>
      <c r="AP50" s="20"/>
      <c r="AV50" s="20" t="s">
        <v>101</v>
      </c>
      <c r="AW50" s="46" t="s">
        <v>46</v>
      </c>
      <c r="AX50" s="8" t="s">
        <v>16</v>
      </c>
      <c r="AY50" s="46" t="s">
        <v>51</v>
      </c>
      <c r="AZ50" s="46" t="s">
        <v>60</v>
      </c>
      <c r="BA50" s="45">
        <v>-4.9950000000000001</v>
      </c>
      <c r="BB50" s="45">
        <v>0.10299999999999999</v>
      </c>
      <c r="BC50" s="45">
        <v>-6.1840000000000002</v>
      </c>
      <c r="BD50" s="45">
        <v>8.7999999999999995E-2</v>
      </c>
      <c r="BE50" s="15">
        <f t="shared" si="22"/>
        <v>1.1890000000000001</v>
      </c>
      <c r="BF50" s="15">
        <f t="shared" si="23"/>
        <v>0.13547324459095234</v>
      </c>
      <c r="BG50" s="15">
        <f t="shared" si="24"/>
        <v>1.8352999999999998E-2</v>
      </c>
      <c r="BH50" s="8">
        <v>1.35</v>
      </c>
      <c r="BI50" s="15">
        <f t="shared" si="25"/>
        <v>2.592100000000001E-2</v>
      </c>
    </row>
    <row r="51" spans="10:61">
      <c r="J51" s="15" t="s">
        <v>45</v>
      </c>
      <c r="K51" s="15" t="s">
        <v>70</v>
      </c>
      <c r="L51" s="8" t="s">
        <v>14</v>
      </c>
      <c r="M51" s="15" t="s">
        <v>226</v>
      </c>
      <c r="N51" s="15" t="s">
        <v>227</v>
      </c>
      <c r="O51" s="15">
        <v>-10.670999999999999</v>
      </c>
      <c r="P51" s="15">
        <v>0.23100000000000001</v>
      </c>
      <c r="Q51" s="15">
        <v>-10.119999999999999</v>
      </c>
      <c r="R51" s="15">
        <v>0.10299999999999999</v>
      </c>
      <c r="S51" s="15">
        <v>-0.55100000000000005</v>
      </c>
      <c r="T51" s="15">
        <v>0.25312249999999997</v>
      </c>
      <c r="U51" s="15">
        <v>6.4071000000000003E-2</v>
      </c>
      <c r="V51" s="8">
        <v>-0.78</v>
      </c>
      <c r="W51" s="15">
        <f>(S51-V51)^2</f>
        <v>5.2440999999999995E-2</v>
      </c>
      <c r="AA51" s="46" t="s">
        <v>82</v>
      </c>
      <c r="AB51" s="46" t="s">
        <v>46</v>
      </c>
      <c r="AC51" s="8" t="s">
        <v>20</v>
      </c>
      <c r="AD51" s="46" t="s">
        <v>53</v>
      </c>
      <c r="AE51" s="46" t="s">
        <v>62</v>
      </c>
      <c r="AF51" s="15">
        <v>46.905999999999999</v>
      </c>
      <c r="AG51" s="15">
        <v>0.184</v>
      </c>
      <c r="AH51" s="15">
        <v>45.795000000000002</v>
      </c>
      <c r="AI51" s="15">
        <v>5.5E-2</v>
      </c>
      <c r="AJ51" s="15">
        <f t="shared" si="18"/>
        <v>1.1109999999999971</v>
      </c>
      <c r="AK51" s="15">
        <f t="shared" si="19"/>
        <v>0.19204426573058617</v>
      </c>
      <c r="AL51" s="15">
        <f t="shared" si="20"/>
        <v>3.688099999999999E-2</v>
      </c>
      <c r="AM51" s="8">
        <v>-0.35</v>
      </c>
      <c r="AN51" s="15">
        <f t="shared" si="21"/>
        <v>2.1345209999999919</v>
      </c>
      <c r="AO51" s="20"/>
      <c r="AP51" s="20"/>
      <c r="AV51" s="20" t="s">
        <v>101</v>
      </c>
      <c r="AW51" s="46" t="s">
        <v>46</v>
      </c>
      <c r="AX51" s="8" t="s">
        <v>17</v>
      </c>
      <c r="AY51" s="46" t="s">
        <v>52</v>
      </c>
      <c r="AZ51" s="46" t="s">
        <v>61</v>
      </c>
      <c r="BA51" s="45">
        <v>71.355999999999995</v>
      </c>
      <c r="BB51" s="45">
        <v>0.192</v>
      </c>
      <c r="BC51" s="45">
        <v>70.099999999999994</v>
      </c>
      <c r="BD51" s="45">
        <v>2.5000000000000001E-2</v>
      </c>
      <c r="BE51" s="15">
        <f t="shared" si="22"/>
        <v>1.2560000000000002</v>
      </c>
      <c r="BF51" s="15">
        <f t="shared" si="23"/>
        <v>0.19362076334938874</v>
      </c>
      <c r="BG51" s="15">
        <f t="shared" si="24"/>
        <v>3.7489000000000001E-2</v>
      </c>
      <c r="BH51" s="8">
        <v>1.76</v>
      </c>
      <c r="BI51" s="15">
        <f t="shared" si="25"/>
        <v>0.2540159999999998</v>
      </c>
    </row>
    <row r="52" spans="10:61">
      <c r="J52" s="15" t="s">
        <v>45</v>
      </c>
      <c r="K52" s="15" t="s">
        <v>70</v>
      </c>
      <c r="L52" s="8" t="s">
        <v>4</v>
      </c>
      <c r="M52" s="15" t="s">
        <v>228</v>
      </c>
      <c r="N52" s="15" t="s">
        <v>229</v>
      </c>
      <c r="O52" s="15">
        <v>46.561</v>
      </c>
      <c r="P52" s="15">
        <v>0.14699999999999999</v>
      </c>
      <c r="Q52" s="15">
        <v>46.682000000000002</v>
      </c>
      <c r="R52" s="15">
        <v>8.6999999999999994E-2</v>
      </c>
      <c r="S52" s="15">
        <v>-0.121</v>
      </c>
      <c r="T52" s="15">
        <v>0.17105262299999999</v>
      </c>
      <c r="U52" s="15">
        <v>2.9259E-2</v>
      </c>
      <c r="V52" s="8">
        <v>-0.24</v>
      </c>
      <c r="W52" s="15">
        <f t="shared" ref="W52:W55" si="26">(S52-V52)^2</f>
        <v>1.4160999999999998E-2</v>
      </c>
      <c r="AA52" s="46" t="s">
        <v>82</v>
      </c>
      <c r="AB52" s="46" t="s">
        <v>46</v>
      </c>
      <c r="AC52" s="8" t="s">
        <v>22</v>
      </c>
      <c r="AD52" s="46" t="s">
        <v>54</v>
      </c>
      <c r="AE52" s="46" t="s">
        <v>63</v>
      </c>
      <c r="AF52" s="15">
        <v>-2.1920000000000002</v>
      </c>
      <c r="AG52" s="15">
        <v>0.159</v>
      </c>
      <c r="AH52" s="15">
        <v>-2.2450000000000001</v>
      </c>
      <c r="AI52" s="15">
        <v>0.10299999999999999</v>
      </c>
      <c r="AJ52" s="15">
        <f t="shared" si="18"/>
        <v>5.2999999999999936E-2</v>
      </c>
      <c r="AK52" s="15">
        <f t="shared" si="19"/>
        <v>0.18944656238633625</v>
      </c>
      <c r="AL52" s="15">
        <f t="shared" si="20"/>
        <v>3.5889999999999991E-2</v>
      </c>
      <c r="AM52" s="8">
        <v>0.52</v>
      </c>
      <c r="AN52" s="15">
        <f t="shared" si="21"/>
        <v>0.21808900000000009</v>
      </c>
      <c r="AO52" s="20"/>
      <c r="AP52" s="20"/>
      <c r="AV52" s="20" t="s">
        <v>101</v>
      </c>
      <c r="AW52" s="46" t="s">
        <v>46</v>
      </c>
      <c r="AX52" s="8" t="s">
        <v>18</v>
      </c>
      <c r="AY52" s="55" t="s">
        <v>85</v>
      </c>
      <c r="AZ52" s="20" t="s">
        <v>91</v>
      </c>
      <c r="BA52" s="45">
        <v>-6.3330000000000002</v>
      </c>
      <c r="BB52" s="45">
        <v>0.27700000000000002</v>
      </c>
      <c r="BC52" s="45">
        <v>-6.9560000000000004</v>
      </c>
      <c r="BD52" s="45">
        <v>8.2000000000000003E-2</v>
      </c>
      <c r="BE52" s="15">
        <f t="shared" si="22"/>
        <v>0.62300000000000022</v>
      </c>
      <c r="BF52" s="15">
        <f t="shared" si="23"/>
        <v>0.28888232898535005</v>
      </c>
      <c r="BG52" s="15">
        <f t="shared" si="24"/>
        <v>8.3453000000000013E-2</v>
      </c>
      <c r="BH52" s="8">
        <v>0.54</v>
      </c>
      <c r="BI52" s="15">
        <f t="shared" si="25"/>
        <v>6.8890000000000305E-3</v>
      </c>
    </row>
    <row r="53" spans="10:61">
      <c r="J53" s="15" t="s">
        <v>45</v>
      </c>
      <c r="K53" s="15" t="s">
        <v>70</v>
      </c>
      <c r="L53" s="42" t="s">
        <v>6</v>
      </c>
      <c r="M53" s="15" t="s">
        <v>230</v>
      </c>
      <c r="N53" s="15" t="s">
        <v>231</v>
      </c>
      <c r="O53" s="15">
        <v>-8.4440000000000008</v>
      </c>
      <c r="P53" s="15">
        <v>0.104</v>
      </c>
      <c r="Q53" s="15">
        <v>-8.8620000000000001</v>
      </c>
      <c r="R53" s="15">
        <v>7.1999999999999995E-2</v>
      </c>
      <c r="S53" s="15">
        <v>0.41799999999999998</v>
      </c>
      <c r="T53" s="15">
        <v>0.126273513</v>
      </c>
      <c r="U53" s="15">
        <v>1.5945000000000001E-2</v>
      </c>
      <c r="V53" s="8">
        <v>0.97</v>
      </c>
      <c r="W53" s="15">
        <f t="shared" si="26"/>
        <v>0.30470400000000003</v>
      </c>
      <c r="AA53" s="46" t="s">
        <v>82</v>
      </c>
      <c r="AB53" s="46" t="s">
        <v>46</v>
      </c>
      <c r="AC53" s="8" t="s">
        <v>23</v>
      </c>
      <c r="AD53" s="46" t="s">
        <v>55</v>
      </c>
      <c r="AE53" s="46" t="s">
        <v>64</v>
      </c>
      <c r="AF53" s="15">
        <v>-4.4020000000000001</v>
      </c>
      <c r="AG53" s="15">
        <v>0.20300000000000001</v>
      </c>
      <c r="AH53" s="15">
        <v>-4.3949999999999996</v>
      </c>
      <c r="AI53" s="15">
        <v>0.108</v>
      </c>
      <c r="AJ53" s="15">
        <f t="shared" si="18"/>
        <v>-7.0000000000005613E-3</v>
      </c>
      <c r="AK53" s="15">
        <f t="shared" si="19"/>
        <v>0.22994129685639333</v>
      </c>
      <c r="AL53" s="15">
        <f t="shared" si="20"/>
        <v>5.2873000000000003E-2</v>
      </c>
      <c r="AM53" s="8">
        <v>1.08</v>
      </c>
      <c r="AN53" s="15">
        <f t="shared" si="21"/>
        <v>1.1815690000000014</v>
      </c>
      <c r="AV53" s="20" t="s">
        <v>101</v>
      </c>
      <c r="AW53" s="46" t="s">
        <v>46</v>
      </c>
      <c r="AX53" s="8" t="s">
        <v>20</v>
      </c>
      <c r="AY53" s="46" t="s">
        <v>53</v>
      </c>
      <c r="AZ53" s="46" t="s">
        <v>62</v>
      </c>
      <c r="BA53" s="45">
        <v>46.356999999999999</v>
      </c>
      <c r="BB53" s="45">
        <v>0.10100000000000001</v>
      </c>
      <c r="BC53" s="45">
        <v>45.561999999999998</v>
      </c>
      <c r="BD53" s="45">
        <v>8.1000000000000003E-2</v>
      </c>
      <c r="BE53" s="15">
        <f t="shared" si="22"/>
        <v>0.79500000000000171</v>
      </c>
      <c r="BF53" s="15">
        <f t="shared" si="23"/>
        <v>0.12946814279968646</v>
      </c>
      <c r="BG53" s="15">
        <f t="shared" si="24"/>
        <v>1.6762000000000006E-2</v>
      </c>
      <c r="BH53" s="8">
        <v>-0.35</v>
      </c>
      <c r="BI53" s="15">
        <f t="shared" si="25"/>
        <v>1.3110250000000041</v>
      </c>
    </row>
    <row r="54" spans="10:61">
      <c r="J54" s="15" t="s">
        <v>45</v>
      </c>
      <c r="K54" s="15" t="s">
        <v>70</v>
      </c>
      <c r="L54" s="42" t="s">
        <v>8</v>
      </c>
      <c r="M54" s="15" t="s">
        <v>232</v>
      </c>
      <c r="N54" s="15" t="s">
        <v>76</v>
      </c>
      <c r="O54" s="15">
        <v>-8.5860000000000003</v>
      </c>
      <c r="P54" s="15">
        <v>6.3E-2</v>
      </c>
      <c r="Q54" s="15">
        <v>-8.5879999999999992</v>
      </c>
      <c r="R54" s="15">
        <v>6.6000000000000003E-2</v>
      </c>
      <c r="S54" s="15">
        <v>2E-3</v>
      </c>
      <c r="T54" s="15">
        <v>9.0807489000000005E-2</v>
      </c>
      <c r="U54" s="15">
        <v>8.2459999999999999E-3</v>
      </c>
      <c r="V54" s="8">
        <v>-0.15</v>
      </c>
      <c r="W54" s="15">
        <f t="shared" si="26"/>
        <v>2.3104E-2</v>
      </c>
      <c r="AA54" s="20" t="s">
        <v>101</v>
      </c>
      <c r="AB54" s="46" t="s">
        <v>46</v>
      </c>
      <c r="AC54" s="42" t="s">
        <v>24</v>
      </c>
      <c r="AD54" s="53" t="s">
        <v>86</v>
      </c>
      <c r="AE54" s="20" t="s">
        <v>92</v>
      </c>
      <c r="AF54" s="15">
        <v>-9.1530000000000005</v>
      </c>
      <c r="AG54" s="15">
        <v>0.252</v>
      </c>
      <c r="AH54" s="15">
        <v>-8.1880000000000006</v>
      </c>
      <c r="AI54" s="15">
        <v>6.5000000000000002E-2</v>
      </c>
      <c r="AJ54" s="15">
        <f t="shared" si="18"/>
        <v>-0.96499999999999986</v>
      </c>
      <c r="AK54" s="15">
        <f t="shared" si="19"/>
        <v>0.26024795868555822</v>
      </c>
      <c r="AL54" s="15">
        <f t="shared" si="20"/>
        <v>6.7729000000000025E-2</v>
      </c>
      <c r="AM54" s="8">
        <v>1.42</v>
      </c>
      <c r="AN54" s="15">
        <f t="shared" si="21"/>
        <v>5.6882249999999992</v>
      </c>
      <c r="AV54" s="20" t="s">
        <v>101</v>
      </c>
      <c r="AW54" s="46" t="s">
        <v>46</v>
      </c>
      <c r="AX54" s="8" t="s">
        <v>22</v>
      </c>
      <c r="AY54" s="46" t="s">
        <v>54</v>
      </c>
      <c r="AZ54" s="46" t="s">
        <v>63</v>
      </c>
      <c r="BA54" s="45">
        <v>-2.2810000000000001</v>
      </c>
      <c r="BB54" s="45">
        <v>5.7000000000000002E-2</v>
      </c>
      <c r="BC54" s="45">
        <v>-2.3380000000000001</v>
      </c>
      <c r="BD54" s="45">
        <v>8.2000000000000003E-2</v>
      </c>
      <c r="BE54" s="15">
        <f t="shared" si="22"/>
        <v>5.699999999999994E-2</v>
      </c>
      <c r="BF54" s="15">
        <f t="shared" si="23"/>
        <v>9.9864908751773271E-2</v>
      </c>
      <c r="BG54" s="15">
        <f t="shared" si="24"/>
        <v>9.973000000000001E-3</v>
      </c>
      <c r="BH54" s="8">
        <v>0.52</v>
      </c>
      <c r="BI54" s="15">
        <f t="shared" si="25"/>
        <v>0.21436900000000006</v>
      </c>
    </row>
    <row r="55" spans="10:61">
      <c r="J55" s="15" t="s">
        <v>45</v>
      </c>
      <c r="K55" s="15" t="s">
        <v>70</v>
      </c>
      <c r="L55" s="8" t="s">
        <v>12</v>
      </c>
      <c r="M55" s="15" t="s">
        <v>233</v>
      </c>
      <c r="N55" s="15" t="s">
        <v>105</v>
      </c>
      <c r="O55" s="15">
        <v>-24.277000000000001</v>
      </c>
      <c r="P55" s="15">
        <v>0.27900000000000003</v>
      </c>
      <c r="Q55" s="15">
        <v>-24.07</v>
      </c>
      <c r="R55" s="15">
        <v>0.23300000000000001</v>
      </c>
      <c r="S55" s="15">
        <v>-0.20699999999999999</v>
      </c>
      <c r="T55" s="15">
        <v>0.36334694200000001</v>
      </c>
      <c r="U55" s="15">
        <v>0.132021</v>
      </c>
      <c r="V55" s="8">
        <v>0.85</v>
      </c>
      <c r="W55" s="15">
        <f t="shared" si="26"/>
        <v>1.1172489999999999</v>
      </c>
      <c r="AA55" s="46" t="s">
        <v>82</v>
      </c>
      <c r="AB55" s="46" t="s">
        <v>46</v>
      </c>
      <c r="AC55" s="8" t="s">
        <v>27</v>
      </c>
      <c r="AD55" s="46" t="s">
        <v>28</v>
      </c>
      <c r="AE55" s="46" t="s">
        <v>65</v>
      </c>
      <c r="AF55" s="15">
        <v>-8.2170000000000005</v>
      </c>
      <c r="AG55" s="15">
        <v>0.112</v>
      </c>
      <c r="AH55" s="15">
        <v>-8.6379999999999999</v>
      </c>
      <c r="AI55" s="15">
        <v>4.2999999999999997E-2</v>
      </c>
      <c r="AJ55" s="15">
        <f t="shared" si="18"/>
        <v>0.42099999999999937</v>
      </c>
      <c r="AK55" s="15">
        <f t="shared" si="19"/>
        <v>0.11997082978791136</v>
      </c>
      <c r="AL55" s="15">
        <f t="shared" si="20"/>
        <v>1.4393E-2</v>
      </c>
      <c r="AM55" s="50">
        <v>-0.21</v>
      </c>
      <c r="AN55" s="15">
        <f t="shared" si="21"/>
        <v>0.39816099999999915</v>
      </c>
      <c r="AV55" s="20" t="s">
        <v>101</v>
      </c>
      <c r="AW55" s="46" t="s">
        <v>46</v>
      </c>
      <c r="AX55" s="8" t="s">
        <v>23</v>
      </c>
      <c r="AY55" s="46" t="s">
        <v>55</v>
      </c>
      <c r="AZ55" s="46" t="s">
        <v>64</v>
      </c>
      <c r="BA55" s="45">
        <v>-3.681</v>
      </c>
      <c r="BB55" s="45">
        <v>0.11600000000000001</v>
      </c>
      <c r="BC55" s="45">
        <v>-4.391</v>
      </c>
      <c r="BD55" s="45">
        <v>5.8000000000000003E-2</v>
      </c>
      <c r="BE55" s="15">
        <f t="shared" si="22"/>
        <v>0.71</v>
      </c>
      <c r="BF55" s="15">
        <f t="shared" si="23"/>
        <v>0.12969194269498782</v>
      </c>
      <c r="BG55" s="15">
        <f t="shared" si="24"/>
        <v>1.6820000000000005E-2</v>
      </c>
      <c r="BH55" s="8">
        <v>1.08</v>
      </c>
      <c r="BI55" s="15">
        <f t="shared" si="25"/>
        <v>0.13690000000000008</v>
      </c>
    </row>
    <row r="56" spans="10:61">
      <c r="U56" s="18" t="s">
        <v>67</v>
      </c>
      <c r="V56" s="18"/>
      <c r="W56" s="18" t="s">
        <v>67</v>
      </c>
      <c r="AA56" s="46" t="s">
        <v>235</v>
      </c>
      <c r="AB56" s="46" t="s">
        <v>46</v>
      </c>
      <c r="AC56" s="8" t="s">
        <v>25</v>
      </c>
      <c r="AD56" s="46" t="s">
        <v>87</v>
      </c>
      <c r="AE56" s="46" t="s">
        <v>93</v>
      </c>
      <c r="AF56" s="15">
        <v>71.721999999999994</v>
      </c>
      <c r="AG56" s="15">
        <v>0.29499999999999998</v>
      </c>
      <c r="AH56" s="15">
        <v>70.009</v>
      </c>
      <c r="AI56" s="15">
        <v>0.104</v>
      </c>
      <c r="AJ56" s="15">
        <f t="shared" si="18"/>
        <v>1.7129999999999939</v>
      </c>
      <c r="AK56" s="15">
        <f t="shared" si="19"/>
        <v>0.31279546032511402</v>
      </c>
      <c r="AL56" s="15">
        <f t="shared" si="20"/>
        <v>9.7840999999999984E-2</v>
      </c>
      <c r="AM56" s="8">
        <v>1.1100000000000001</v>
      </c>
      <c r="AN56" s="15">
        <f t="shared" si="21"/>
        <v>0.36360899999999247</v>
      </c>
      <c r="AV56" s="20" t="s">
        <v>101</v>
      </c>
      <c r="AW56" s="46" t="s">
        <v>46</v>
      </c>
      <c r="AX56" s="42" t="s">
        <v>24</v>
      </c>
      <c r="AY56" s="53" t="s">
        <v>86</v>
      </c>
      <c r="AZ56" s="20" t="s">
        <v>92</v>
      </c>
      <c r="BA56" s="15">
        <v>-9.1530000000000005</v>
      </c>
      <c r="BB56" s="15">
        <v>0.252</v>
      </c>
      <c r="BC56" s="15">
        <v>-8.1880000000000006</v>
      </c>
      <c r="BD56" s="15">
        <v>6.5000000000000002E-2</v>
      </c>
      <c r="BE56" s="15">
        <f t="shared" si="22"/>
        <v>-0.96499999999999986</v>
      </c>
      <c r="BF56" s="15">
        <f t="shared" si="23"/>
        <v>0.26024795868555822</v>
      </c>
      <c r="BG56" s="15">
        <f t="shared" si="24"/>
        <v>6.7729000000000025E-2</v>
      </c>
      <c r="BH56" s="8">
        <v>1.42</v>
      </c>
      <c r="BI56" s="15">
        <f t="shared" si="25"/>
        <v>5.6882249999999992</v>
      </c>
    </row>
    <row r="57" spans="10:61">
      <c r="U57" s="11">
        <f>SUM(U40:U55)</f>
        <v>1.2844069999999999</v>
      </c>
      <c r="W57" s="11">
        <f>SUM(W40:W55)</f>
        <v>43.132007999999992</v>
      </c>
      <c r="AA57" s="20" t="s">
        <v>101</v>
      </c>
      <c r="AB57" s="46" t="s">
        <v>46</v>
      </c>
      <c r="AC57" s="8" t="s">
        <v>26</v>
      </c>
      <c r="AD57" s="55" t="s">
        <v>88</v>
      </c>
      <c r="AE57" s="20" t="s">
        <v>94</v>
      </c>
      <c r="AF57" s="20">
        <v>-35.145000000000003</v>
      </c>
      <c r="AG57" s="20">
        <v>0.308</v>
      </c>
      <c r="AH57" s="20">
        <v>-39.378</v>
      </c>
      <c r="AI57" s="20">
        <v>0.28899999999999998</v>
      </c>
      <c r="AJ57" s="15">
        <f t="shared" si="18"/>
        <v>4.232999999999997</v>
      </c>
      <c r="AK57" s="15">
        <f t="shared" si="19"/>
        <v>0.42235648450094854</v>
      </c>
      <c r="AL57" s="15">
        <f t="shared" si="20"/>
        <v>0.17838499999999999</v>
      </c>
      <c r="AM57" s="8">
        <v>4.45</v>
      </c>
      <c r="AN57" s="15">
        <f t="shared" si="21"/>
        <v>4.7089000000001387E-2</v>
      </c>
      <c r="AV57" s="20" t="s">
        <v>101</v>
      </c>
      <c r="AW57" s="46" t="s">
        <v>46</v>
      </c>
      <c r="AX57" s="8" t="s">
        <v>27</v>
      </c>
      <c r="AY57" s="46" t="s">
        <v>28</v>
      </c>
      <c r="AZ57" s="46" t="s">
        <v>65</v>
      </c>
      <c r="BA57" s="45">
        <v>-8.2780000000000005</v>
      </c>
      <c r="BB57" s="45">
        <v>6.4000000000000001E-2</v>
      </c>
      <c r="BC57" s="45">
        <v>-8.4909999999999997</v>
      </c>
      <c r="BD57" s="45">
        <v>6.7000000000000004E-2</v>
      </c>
      <c r="BE57" s="15">
        <f t="shared" si="22"/>
        <v>0.21299999999999919</v>
      </c>
      <c r="BF57" s="15">
        <f t="shared" si="23"/>
        <v>9.2655275079188026E-2</v>
      </c>
      <c r="BG57" s="15">
        <f t="shared" si="24"/>
        <v>8.5850000000000024E-3</v>
      </c>
      <c r="BH57" s="50">
        <v>-0.21</v>
      </c>
      <c r="BI57" s="15">
        <f t="shared" si="25"/>
        <v>0.17892899999999928</v>
      </c>
    </row>
    <row r="58" spans="10:61">
      <c r="AA58" s="46" t="s">
        <v>82</v>
      </c>
      <c r="AB58" s="46" t="s">
        <v>70</v>
      </c>
      <c r="AC58" s="8" t="s">
        <v>4</v>
      </c>
      <c r="AD58" s="51">
        <v>547</v>
      </c>
      <c r="AE58" s="44" t="s">
        <v>229</v>
      </c>
      <c r="AF58" s="45">
        <v>46.506999999999998</v>
      </c>
      <c r="AG58" s="45">
        <v>0.156</v>
      </c>
      <c r="AH58" s="45">
        <v>46.517000000000003</v>
      </c>
      <c r="AI58" s="45">
        <v>4.1000000000000002E-2</v>
      </c>
      <c r="AJ58" s="45">
        <f>(AF58-AH58)</f>
        <v>-1.0000000000005116E-2</v>
      </c>
      <c r="AK58" s="45">
        <f>SQRT((AG58)^2 + (AI58)^2)</f>
        <v>0.16129786111415118</v>
      </c>
      <c r="AL58" s="45">
        <f>AK58^2</f>
        <v>2.6017000000000002E-2</v>
      </c>
      <c r="AM58" s="8">
        <v>-0.24</v>
      </c>
      <c r="AN58" s="45">
        <f>(AJ58-AM58)^2</f>
        <v>5.2899999999997643E-2</v>
      </c>
      <c r="AV58" s="20" t="s">
        <v>101</v>
      </c>
      <c r="AW58" s="46" t="s">
        <v>46</v>
      </c>
      <c r="AX58" s="8" t="s">
        <v>25</v>
      </c>
      <c r="AY58" s="46" t="s">
        <v>87</v>
      </c>
      <c r="AZ58" s="46" t="s">
        <v>93</v>
      </c>
      <c r="BA58" s="45">
        <v>69.941000000000003</v>
      </c>
      <c r="BB58" s="45">
        <v>0.314</v>
      </c>
      <c r="BC58" s="45">
        <v>69.125</v>
      </c>
      <c r="BD58" s="45">
        <v>0.155</v>
      </c>
      <c r="BE58" s="15">
        <f t="shared" si="22"/>
        <v>0.8160000000000025</v>
      </c>
      <c r="BF58" s="15">
        <f t="shared" si="23"/>
        <v>0.35017281447879417</v>
      </c>
      <c r="BG58" s="15">
        <f t="shared" si="24"/>
        <v>0.12262099999999999</v>
      </c>
      <c r="BH58" s="8">
        <v>1.1100000000000001</v>
      </c>
      <c r="BI58" s="15">
        <f t="shared" si="25"/>
        <v>8.6435999999998583E-2</v>
      </c>
    </row>
    <row r="59" spans="10:61">
      <c r="V59" s="19" t="s">
        <v>68</v>
      </c>
      <c r="W59" s="11">
        <f>SQRT(W57/16)</f>
        <v>1.6418740816518176</v>
      </c>
      <c r="AA59" s="46" t="s">
        <v>101</v>
      </c>
      <c r="AB59" s="46" t="s">
        <v>70</v>
      </c>
      <c r="AC59" s="42" t="s">
        <v>6</v>
      </c>
      <c r="AD59" s="51">
        <v>548</v>
      </c>
      <c r="AE59" s="44" t="s">
        <v>231</v>
      </c>
      <c r="AF59" s="45">
        <v>-8.8770000000000007</v>
      </c>
      <c r="AG59" s="45">
        <v>4.8000000000000001E-2</v>
      </c>
      <c r="AH59" s="45">
        <v>-8.7390000000000008</v>
      </c>
      <c r="AI59" s="45">
        <v>8.5000000000000006E-2</v>
      </c>
      <c r="AJ59" s="45">
        <f t="shared" ref="AJ59:AJ63" si="27">(AF59-AH59)</f>
        <v>-0.1379999999999999</v>
      </c>
      <c r="AK59" s="45">
        <f t="shared" ref="AK59:AK63" si="28">SQRT((AG59)^2 + (AI59)^2)</f>
        <v>9.7616596949494205E-2</v>
      </c>
      <c r="AL59" s="45">
        <f t="shared" ref="AL59:AL63" si="29">AK59^2</f>
        <v>9.529000000000001E-3</v>
      </c>
      <c r="AM59" s="8">
        <v>0.97</v>
      </c>
      <c r="AN59" s="45">
        <f t="shared" ref="AN59:AN63" si="30">(AJ59-AM59)^2</f>
        <v>1.2276639999999996</v>
      </c>
      <c r="AV59" s="20" t="s">
        <v>101</v>
      </c>
      <c r="AW59" s="46" t="s">
        <v>46</v>
      </c>
      <c r="AX59" s="8" t="s">
        <v>26</v>
      </c>
      <c r="AY59" s="55" t="s">
        <v>88</v>
      </c>
      <c r="AZ59" s="20" t="s">
        <v>94</v>
      </c>
      <c r="BA59" s="20">
        <v>-35.145000000000003</v>
      </c>
      <c r="BB59" s="20">
        <v>0.308</v>
      </c>
      <c r="BC59" s="20">
        <v>-39.378</v>
      </c>
      <c r="BD59" s="20">
        <v>0.28899999999999998</v>
      </c>
      <c r="BE59" s="15">
        <f t="shared" si="22"/>
        <v>4.232999999999997</v>
      </c>
      <c r="BF59" s="15">
        <f t="shared" si="23"/>
        <v>0.42235648450094854</v>
      </c>
      <c r="BG59" s="15">
        <f t="shared" si="24"/>
        <v>0.17838499999999999</v>
      </c>
      <c r="BH59" s="8">
        <v>4.45</v>
      </c>
      <c r="BI59" s="15">
        <f t="shared" si="25"/>
        <v>4.7089000000001387E-2</v>
      </c>
    </row>
    <row r="60" spans="10:61">
      <c r="V60" s="19" t="s">
        <v>40</v>
      </c>
      <c r="W60" s="11">
        <f>SQRT(U57/16)</f>
        <v>0.2833292034012731</v>
      </c>
      <c r="AA60" s="46" t="s">
        <v>101</v>
      </c>
      <c r="AB60" s="46" t="s">
        <v>70</v>
      </c>
      <c r="AC60" s="42" t="s">
        <v>8</v>
      </c>
      <c r="AD60" s="51">
        <v>550</v>
      </c>
      <c r="AE60" s="44" t="s">
        <v>76</v>
      </c>
      <c r="AF60" s="45">
        <v>-8.2260000000000009</v>
      </c>
      <c r="AG60" s="45">
        <v>4.5999999999999999E-2</v>
      </c>
      <c r="AH60" s="45">
        <v>-8.1</v>
      </c>
      <c r="AI60" s="45">
        <v>0.09</v>
      </c>
      <c r="AJ60" s="45">
        <f t="shared" si="27"/>
        <v>-0.12600000000000122</v>
      </c>
      <c r="AK60" s="45">
        <f t="shared" si="28"/>
        <v>0.10107423014794621</v>
      </c>
      <c r="AL60" s="45">
        <f t="shared" si="29"/>
        <v>1.0215999999999999E-2</v>
      </c>
      <c r="AM60" s="8">
        <v>-0.15</v>
      </c>
      <c r="AN60" s="45">
        <f t="shared" si="30"/>
        <v>5.7599999999994103E-4</v>
      </c>
      <c r="AV60" s="46" t="s">
        <v>101</v>
      </c>
      <c r="AW60" s="46" t="s">
        <v>70</v>
      </c>
      <c r="AX60" s="8" t="s">
        <v>4</v>
      </c>
      <c r="AY60" s="51">
        <v>547</v>
      </c>
      <c r="AZ60" s="44" t="s">
        <v>229</v>
      </c>
      <c r="BA60" s="15">
        <v>46.640999999999998</v>
      </c>
      <c r="BB60" s="15">
        <v>7.1999999999999995E-2</v>
      </c>
      <c r="BC60" s="15">
        <v>46.692999999999998</v>
      </c>
      <c r="BD60" s="15">
        <v>6.0999999999999999E-2</v>
      </c>
      <c r="BE60" s="15">
        <v>-5.1999999999999998E-2</v>
      </c>
      <c r="BF60" s="15">
        <v>9.4010637999999994E-2</v>
      </c>
      <c r="BG60" s="15">
        <v>8.8380000000000004E-3</v>
      </c>
      <c r="BH60" s="8">
        <v>-0.24</v>
      </c>
      <c r="BI60" s="15">
        <f>(BE60-BH60)^2</f>
        <v>3.5344E-2</v>
      </c>
    </row>
    <row r="61" spans="10:61">
      <c r="AA61" s="46" t="s">
        <v>101</v>
      </c>
      <c r="AB61" s="46" t="s">
        <v>70</v>
      </c>
      <c r="AC61" s="42" t="s">
        <v>10</v>
      </c>
      <c r="AD61" s="51">
        <v>609</v>
      </c>
      <c r="AE61" s="44" t="s">
        <v>241</v>
      </c>
      <c r="AF61" s="45">
        <v>-5.4560000000000004</v>
      </c>
      <c r="AG61" s="45">
        <v>0.442</v>
      </c>
      <c r="AH61" s="45">
        <v>-8.2799999999999994</v>
      </c>
      <c r="AI61" s="45">
        <v>9.1999999999999998E-2</v>
      </c>
      <c r="AJ61" s="45">
        <f t="shared" si="27"/>
        <v>2.823999999999999</v>
      </c>
      <c r="AK61" s="45">
        <f t="shared" si="28"/>
        <v>0.45147314427327789</v>
      </c>
      <c r="AL61" s="45">
        <f t="shared" si="29"/>
        <v>0.20382800000000001</v>
      </c>
      <c r="AM61" s="8">
        <v>2.0099999999999998</v>
      </c>
      <c r="AN61" s="45">
        <f t="shared" si="30"/>
        <v>0.66259599999999863</v>
      </c>
      <c r="AV61" s="46" t="s">
        <v>101</v>
      </c>
      <c r="AW61" s="46" t="s">
        <v>70</v>
      </c>
      <c r="AX61" s="42" t="s">
        <v>6</v>
      </c>
      <c r="AY61" s="51">
        <v>548</v>
      </c>
      <c r="AZ61" s="44" t="s">
        <v>231</v>
      </c>
      <c r="BA61" s="15">
        <v>-8.8770000000000007</v>
      </c>
      <c r="BB61" s="15">
        <v>4.8000000000000001E-2</v>
      </c>
      <c r="BC61" s="15">
        <v>-8.7390000000000008</v>
      </c>
      <c r="BD61" s="15">
        <v>8.5000000000000006E-2</v>
      </c>
      <c r="BE61" s="15">
        <f t="shared" ref="BE61:BE63" si="31">(BA61-BC61)</f>
        <v>-0.1379999999999999</v>
      </c>
      <c r="BF61" s="15">
        <f t="shared" ref="BF61:BF63" si="32">SQRT((BB61)^2 + (BD61)^2)</f>
        <v>9.7616596949494205E-2</v>
      </c>
      <c r="BG61" s="15">
        <f t="shared" ref="BG61:BG63" si="33">BF61^2</f>
        <v>9.529000000000001E-3</v>
      </c>
      <c r="BH61" s="8">
        <v>0.97</v>
      </c>
      <c r="BI61" s="15">
        <f t="shared" ref="BI61:BI65" si="34">(BE61-BH61)^2</f>
        <v>1.2276639999999996</v>
      </c>
    </row>
    <row r="62" spans="10:61" ht="17">
      <c r="J62" s="10" t="s">
        <v>80</v>
      </c>
      <c r="AA62" s="46" t="s">
        <v>82</v>
      </c>
      <c r="AB62" s="46" t="s">
        <v>70</v>
      </c>
      <c r="AC62" s="8" t="s">
        <v>12</v>
      </c>
      <c r="AD62" s="51">
        <v>611</v>
      </c>
      <c r="AE62" s="20" t="s">
        <v>105</v>
      </c>
      <c r="AF62" s="45">
        <v>-24.513999999999999</v>
      </c>
      <c r="AG62" s="45">
        <v>0.28599999999999998</v>
      </c>
      <c r="AH62" s="45">
        <v>-24.052</v>
      </c>
      <c r="AI62" s="45">
        <v>0.17199999999999999</v>
      </c>
      <c r="AJ62" s="45">
        <f t="shared" si="27"/>
        <v>-0.46199999999999974</v>
      </c>
      <c r="AK62" s="45">
        <f t="shared" si="28"/>
        <v>0.33373642294481431</v>
      </c>
      <c r="AL62" s="45">
        <f t="shared" si="29"/>
        <v>0.11137999999999998</v>
      </c>
      <c r="AM62" s="8">
        <v>0.85</v>
      </c>
      <c r="AN62" s="45">
        <f t="shared" si="30"/>
        <v>1.7213439999999995</v>
      </c>
      <c r="AV62" s="46" t="s">
        <v>101</v>
      </c>
      <c r="AW62" s="46" t="s">
        <v>70</v>
      </c>
      <c r="AX62" s="42" t="s">
        <v>8</v>
      </c>
      <c r="AY62" s="51">
        <v>550</v>
      </c>
      <c r="AZ62" s="44" t="s">
        <v>76</v>
      </c>
      <c r="BA62" s="15">
        <v>-8.2260000000000009</v>
      </c>
      <c r="BB62" s="15">
        <v>4.5999999999999999E-2</v>
      </c>
      <c r="BC62" s="15">
        <v>-8.1</v>
      </c>
      <c r="BD62" s="15">
        <v>0.09</v>
      </c>
      <c r="BE62" s="15">
        <f t="shared" si="31"/>
        <v>-0.12600000000000122</v>
      </c>
      <c r="BF62" s="15">
        <f t="shared" si="32"/>
        <v>0.10107423014794621</v>
      </c>
      <c r="BG62" s="15">
        <f t="shared" si="33"/>
        <v>1.0215999999999999E-2</v>
      </c>
      <c r="BH62" s="8">
        <v>-0.15</v>
      </c>
      <c r="BI62" s="15">
        <f t="shared" si="34"/>
        <v>5.7599999999994103E-4</v>
      </c>
    </row>
    <row r="63" spans="10:61">
      <c r="J63" s="12" t="s">
        <v>30</v>
      </c>
      <c r="K63" s="12" t="s">
        <v>31</v>
      </c>
      <c r="L63" s="13" t="s">
        <v>32</v>
      </c>
      <c r="M63" s="12" t="s">
        <v>33</v>
      </c>
      <c r="N63" s="12" t="s">
        <v>34</v>
      </c>
      <c r="O63" s="12" t="s">
        <v>35</v>
      </c>
      <c r="P63" s="12" t="s">
        <v>36</v>
      </c>
      <c r="Q63" s="12" t="s">
        <v>37</v>
      </c>
      <c r="R63" s="12" t="s">
        <v>38</v>
      </c>
      <c r="S63" s="12" t="s">
        <v>39</v>
      </c>
      <c r="T63" s="14" t="s">
        <v>40</v>
      </c>
      <c r="U63" s="12" t="s">
        <v>41</v>
      </c>
      <c r="V63" s="12" t="s">
        <v>42</v>
      </c>
      <c r="W63" s="12" t="s">
        <v>43</v>
      </c>
      <c r="AA63" s="46" t="s">
        <v>82</v>
      </c>
      <c r="AB63" s="46" t="s">
        <v>70</v>
      </c>
      <c r="AC63" s="8" t="s">
        <v>14</v>
      </c>
      <c r="AD63" s="51">
        <v>523</v>
      </c>
      <c r="AE63" s="20" t="s">
        <v>227</v>
      </c>
      <c r="AF63" s="45">
        <v>-10.824</v>
      </c>
      <c r="AG63" s="45">
        <v>0.187</v>
      </c>
      <c r="AH63" s="45">
        <v>-10.196</v>
      </c>
      <c r="AI63" s="45">
        <v>5.6000000000000001E-2</v>
      </c>
      <c r="AJ63" s="45">
        <f t="shared" si="27"/>
        <v>-0.62800000000000011</v>
      </c>
      <c r="AK63" s="45">
        <f t="shared" si="28"/>
        <v>0.19520502042724208</v>
      </c>
      <c r="AL63" s="45">
        <f t="shared" si="29"/>
        <v>3.8105E-2</v>
      </c>
      <c r="AM63" s="8">
        <v>-0.78</v>
      </c>
      <c r="AN63" s="45">
        <f t="shared" si="30"/>
        <v>2.3103999999999975E-2</v>
      </c>
      <c r="AV63" s="46" t="s">
        <v>101</v>
      </c>
      <c r="AW63" s="46" t="s">
        <v>70</v>
      </c>
      <c r="AX63" s="42" t="s">
        <v>10</v>
      </c>
      <c r="AY63" s="51">
        <v>609</v>
      </c>
      <c r="AZ63" s="44" t="s">
        <v>241</v>
      </c>
      <c r="BA63" s="15">
        <v>-5.4560000000000004</v>
      </c>
      <c r="BB63" s="15">
        <v>0.442</v>
      </c>
      <c r="BC63" s="15">
        <v>-8.2799999999999994</v>
      </c>
      <c r="BD63" s="15">
        <v>9.1999999999999998E-2</v>
      </c>
      <c r="BE63" s="15">
        <f t="shared" si="31"/>
        <v>2.823999999999999</v>
      </c>
      <c r="BF63" s="15">
        <f t="shared" si="32"/>
        <v>0.45147314427327789</v>
      </c>
      <c r="BG63" s="15">
        <f t="shared" si="33"/>
        <v>0.20382800000000001</v>
      </c>
      <c r="BH63" s="8">
        <v>2.0099999999999998</v>
      </c>
      <c r="BI63" s="15">
        <f t="shared" si="34"/>
        <v>0.66259599999999863</v>
      </c>
    </row>
    <row r="64" spans="10:61">
      <c r="J64" s="15" t="s">
        <v>45</v>
      </c>
      <c r="K64" s="15" t="s">
        <v>46</v>
      </c>
      <c r="L64" s="8" t="s">
        <v>5</v>
      </c>
      <c r="M64" s="15" t="s">
        <v>47</v>
      </c>
      <c r="N64" s="15" t="s">
        <v>56</v>
      </c>
      <c r="O64" s="15">
        <v>-13.516</v>
      </c>
      <c r="P64" s="15">
        <v>0.36499999999999999</v>
      </c>
      <c r="Q64" s="15">
        <v>-13.941000000000001</v>
      </c>
      <c r="R64" s="15">
        <v>8.5999999999999993E-2</v>
      </c>
      <c r="S64" s="15">
        <v>0.42499999999999999</v>
      </c>
      <c r="T64" s="15">
        <v>0.37479994700000002</v>
      </c>
      <c r="U64" s="15">
        <v>0.14047499999999999</v>
      </c>
      <c r="V64" s="8">
        <v>-0.01</v>
      </c>
      <c r="W64" s="20">
        <f>(S64-V64)^2</f>
        <v>0.189225</v>
      </c>
      <c r="AL64" s="18" t="s">
        <v>67</v>
      </c>
      <c r="AM64" s="18"/>
      <c r="AN64" s="18" t="s">
        <v>67</v>
      </c>
      <c r="AV64" s="46" t="s">
        <v>101</v>
      </c>
      <c r="AW64" s="46" t="s">
        <v>70</v>
      </c>
      <c r="AX64" s="8" t="s">
        <v>12</v>
      </c>
      <c r="AY64" s="51">
        <v>611</v>
      </c>
      <c r="AZ64" s="20" t="s">
        <v>105</v>
      </c>
      <c r="BA64" s="15">
        <v>-24.239000000000001</v>
      </c>
      <c r="BB64" s="15">
        <v>0.20799999999999999</v>
      </c>
      <c r="BC64" s="15">
        <v>-23.966000000000001</v>
      </c>
      <c r="BD64" s="15">
        <v>0.111</v>
      </c>
      <c r="BE64" s="15">
        <v>-0.27300000000000002</v>
      </c>
      <c r="BF64" s="15">
        <v>0.23565653</v>
      </c>
      <c r="BG64" s="15">
        <v>5.5534E-2</v>
      </c>
      <c r="BH64" s="8">
        <v>0.85</v>
      </c>
      <c r="BI64" s="15">
        <f t="shared" si="34"/>
        <v>1.2611289999999999</v>
      </c>
    </row>
    <row r="65" spans="10:61">
      <c r="J65" s="15" t="s">
        <v>45</v>
      </c>
      <c r="K65" s="15" t="s">
        <v>46</v>
      </c>
      <c r="L65" s="8" t="s">
        <v>9</v>
      </c>
      <c r="M65" s="15" t="s">
        <v>83</v>
      </c>
      <c r="N65" s="15" t="s">
        <v>89</v>
      </c>
      <c r="O65" s="15">
        <v>-30.213999999999999</v>
      </c>
      <c r="P65" s="15">
        <v>0.34799999999999998</v>
      </c>
      <c r="Q65" s="15">
        <v>-36.872999999999998</v>
      </c>
      <c r="R65" s="15">
        <v>0.19500000000000001</v>
      </c>
      <c r="S65" s="15">
        <v>6.6589999999999998</v>
      </c>
      <c r="T65" s="15">
        <v>0.39883329899999997</v>
      </c>
      <c r="U65" s="15">
        <v>0.15906799999999999</v>
      </c>
      <c r="V65" s="8">
        <v>1.19</v>
      </c>
      <c r="W65" s="20">
        <f t="shared" ref="W65:W74" si="35">(S65-V65)^2</f>
        <v>29.909960999999992</v>
      </c>
      <c r="AL65" s="11">
        <f>SUM(AL42:AL63)</f>
        <v>1.7517830000000003</v>
      </c>
      <c r="AN65" s="11">
        <f>SUM(AN42:AN63)</f>
        <v>21.244470999999962</v>
      </c>
      <c r="AV65" s="46" t="s">
        <v>101</v>
      </c>
      <c r="AW65" s="46" t="s">
        <v>70</v>
      </c>
      <c r="AX65" s="8" t="s">
        <v>14</v>
      </c>
      <c r="AY65" s="51">
        <v>523</v>
      </c>
      <c r="AZ65" s="20" t="s">
        <v>227</v>
      </c>
      <c r="BA65" s="15">
        <v>-10.75</v>
      </c>
      <c r="BB65" s="15">
        <v>7.3999999999999996E-2</v>
      </c>
      <c r="BC65" s="15">
        <v>-9.9920000000000009</v>
      </c>
      <c r="BD65" s="15">
        <v>6.4000000000000001E-2</v>
      </c>
      <c r="BE65" s="15">
        <v>-0.75800000000000001</v>
      </c>
      <c r="BF65" s="15">
        <v>9.7780365999999994E-2</v>
      </c>
      <c r="BG65" s="15">
        <v>9.5610000000000001E-3</v>
      </c>
      <c r="BH65" s="8">
        <v>-0.78</v>
      </c>
      <c r="BI65" s="15">
        <f t="shared" si="34"/>
        <v>4.8400000000000087E-4</v>
      </c>
    </row>
    <row r="66" spans="10:61">
      <c r="J66" s="15" t="s">
        <v>45</v>
      </c>
      <c r="K66" s="15" t="s">
        <v>46</v>
      </c>
      <c r="L66" s="8" t="s">
        <v>13</v>
      </c>
      <c r="M66" s="15" t="s">
        <v>49</v>
      </c>
      <c r="N66" s="15" t="s">
        <v>58</v>
      </c>
      <c r="O66" s="15">
        <v>11.813000000000001</v>
      </c>
      <c r="P66" s="15">
        <v>0.222</v>
      </c>
      <c r="Q66" s="15">
        <v>11.468999999999999</v>
      </c>
      <c r="R66" s="15">
        <v>0.112</v>
      </c>
      <c r="S66" s="15">
        <v>0.34399999999999997</v>
      </c>
      <c r="T66" s="15">
        <v>0.248929709</v>
      </c>
      <c r="U66" s="15">
        <v>6.1966E-2</v>
      </c>
      <c r="V66" s="8">
        <v>-1.28</v>
      </c>
      <c r="W66" s="20">
        <f t="shared" si="35"/>
        <v>2.6373760000000002</v>
      </c>
      <c r="BG66" s="18" t="s">
        <v>67</v>
      </c>
      <c r="BH66" s="18"/>
      <c r="BI66" s="18" t="s">
        <v>67</v>
      </c>
    </row>
    <row r="67" spans="10:61">
      <c r="J67" s="15" t="s">
        <v>45</v>
      </c>
      <c r="K67" s="15" t="s">
        <v>46</v>
      </c>
      <c r="L67" s="8" t="s">
        <v>15</v>
      </c>
      <c r="M67" s="15" t="s">
        <v>50</v>
      </c>
      <c r="N67" s="15" t="s">
        <v>59</v>
      </c>
      <c r="O67" s="15">
        <v>14.416</v>
      </c>
      <c r="P67" s="15">
        <v>0.22600000000000001</v>
      </c>
      <c r="Q67" s="15">
        <v>13.404</v>
      </c>
      <c r="R67" s="15">
        <v>7.2999999999999995E-2</v>
      </c>
      <c r="S67" s="15">
        <v>1.012</v>
      </c>
      <c r="T67" s="15">
        <v>0.23788232400000001</v>
      </c>
      <c r="U67" s="15">
        <v>5.6587999999999999E-2</v>
      </c>
      <c r="V67" s="8">
        <v>1.26</v>
      </c>
      <c r="W67" s="20">
        <f t="shared" si="35"/>
        <v>6.1503999999999996E-2</v>
      </c>
      <c r="AM67" s="19" t="s">
        <v>68</v>
      </c>
      <c r="AN67" s="11">
        <f>SQRT(AN65/22)</f>
        <v>0.98267887568995338</v>
      </c>
      <c r="BG67" s="20">
        <f>SUM(BG44:BG65)</f>
        <v>1.4219589999999998</v>
      </c>
      <c r="BH67" s="20"/>
      <c r="BI67" s="20">
        <f>SUM(BI44:BI65)</f>
        <v>18.491124999999982</v>
      </c>
    </row>
    <row r="68" spans="10:61">
      <c r="J68" s="15" t="s">
        <v>45</v>
      </c>
      <c r="K68" s="15" t="s">
        <v>46</v>
      </c>
      <c r="L68" s="8" t="s">
        <v>16</v>
      </c>
      <c r="M68" s="15" t="s">
        <v>51</v>
      </c>
      <c r="N68" s="15" t="s">
        <v>60</v>
      </c>
      <c r="O68" s="15">
        <v>-5.8109999999999999</v>
      </c>
      <c r="P68" s="15">
        <v>0.34699999999999998</v>
      </c>
      <c r="Q68" s="15">
        <v>-6.1390000000000002</v>
      </c>
      <c r="R68" s="15">
        <v>5.2999999999999999E-2</v>
      </c>
      <c r="S68" s="15">
        <v>0.32800000000000001</v>
      </c>
      <c r="T68" s="15">
        <v>0.35097008400000002</v>
      </c>
      <c r="U68" s="15">
        <v>0.12318</v>
      </c>
      <c r="V68" s="8">
        <v>1.35</v>
      </c>
      <c r="W68" s="20">
        <f t="shared" si="35"/>
        <v>1.044484</v>
      </c>
      <c r="AM68" s="19" t="s">
        <v>40</v>
      </c>
      <c r="AN68" s="11">
        <f>SQRT(AL65/22)</f>
        <v>0.28218167906510161</v>
      </c>
    </row>
    <row r="69" spans="10:61">
      <c r="J69" s="15" t="s">
        <v>45</v>
      </c>
      <c r="K69" s="15" t="s">
        <v>46</v>
      </c>
      <c r="L69" s="8" t="s">
        <v>17</v>
      </c>
      <c r="M69" s="15" t="s">
        <v>52</v>
      </c>
      <c r="N69" s="15" t="s">
        <v>61</v>
      </c>
      <c r="O69" s="15">
        <v>72.271000000000001</v>
      </c>
      <c r="P69" s="15">
        <v>0.33100000000000002</v>
      </c>
      <c r="Q69" s="15">
        <v>70.02</v>
      </c>
      <c r="R69" s="15">
        <v>0.09</v>
      </c>
      <c r="S69" s="15">
        <v>2.2509999999999999</v>
      </c>
      <c r="T69" s="15">
        <v>0.34257553899999998</v>
      </c>
      <c r="U69" s="15">
        <v>0.117358</v>
      </c>
      <c r="V69" s="8">
        <v>1.76</v>
      </c>
      <c r="W69" s="20">
        <f t="shared" si="35"/>
        <v>0.24108099999999988</v>
      </c>
      <c r="BH69" s="19" t="s">
        <v>68</v>
      </c>
      <c r="BI69" s="20">
        <f>SQRT(BI67/22)</f>
        <v>0.91679096953350325</v>
      </c>
    </row>
    <row r="70" spans="10:61">
      <c r="J70" s="15" t="s">
        <v>45</v>
      </c>
      <c r="K70" s="15" t="s">
        <v>46</v>
      </c>
      <c r="L70" s="8" t="s">
        <v>20</v>
      </c>
      <c r="M70" s="15" t="s">
        <v>53</v>
      </c>
      <c r="N70" s="15" t="s">
        <v>62</v>
      </c>
      <c r="O70" s="15">
        <v>47.573999999999998</v>
      </c>
      <c r="P70" s="15">
        <v>0.33400000000000002</v>
      </c>
      <c r="Q70" s="15">
        <v>45.774000000000001</v>
      </c>
      <c r="R70" s="15">
        <v>7.6999999999999999E-2</v>
      </c>
      <c r="S70" s="15">
        <v>1.8</v>
      </c>
      <c r="T70" s="15">
        <v>0.34266893599999998</v>
      </c>
      <c r="U70" s="15">
        <v>0.117422</v>
      </c>
      <c r="V70" s="8">
        <v>-0.35</v>
      </c>
      <c r="W70" s="20">
        <f t="shared" si="35"/>
        <v>4.6224999999999996</v>
      </c>
      <c r="BH70" s="19" t="s">
        <v>40</v>
      </c>
      <c r="BI70" s="20">
        <f>SQRT(BG67/22)</f>
        <v>0.25423316070095969</v>
      </c>
    </row>
    <row r="71" spans="10:61">
      <c r="J71" s="15" t="s">
        <v>45</v>
      </c>
      <c r="K71" s="15" t="s">
        <v>46</v>
      </c>
      <c r="L71" s="8" t="s">
        <v>22</v>
      </c>
      <c r="M71" s="15" t="s">
        <v>54</v>
      </c>
      <c r="N71" s="15" t="s">
        <v>63</v>
      </c>
      <c r="O71" s="15">
        <v>-2.1019999999999999</v>
      </c>
      <c r="P71" s="15">
        <v>0.122</v>
      </c>
      <c r="Q71" s="15">
        <v>-1.89</v>
      </c>
      <c r="R71" s="15">
        <v>8.1000000000000003E-2</v>
      </c>
      <c r="S71" s="15">
        <v>-0.21199999999999999</v>
      </c>
      <c r="T71" s="15">
        <v>0.14699999999999999</v>
      </c>
      <c r="U71" s="15">
        <v>2.1609E-2</v>
      </c>
      <c r="V71" s="8">
        <v>0.52</v>
      </c>
      <c r="W71" s="20">
        <f t="shared" si="35"/>
        <v>0.53582399999999997</v>
      </c>
    </row>
    <row r="72" spans="10:61" ht="17">
      <c r="J72" s="15" t="s">
        <v>45</v>
      </c>
      <c r="K72" s="15" t="s">
        <v>46</v>
      </c>
      <c r="L72" s="8" t="s">
        <v>23</v>
      </c>
      <c r="M72" s="15" t="s">
        <v>55</v>
      </c>
      <c r="N72" s="15" t="s">
        <v>64</v>
      </c>
      <c r="O72" s="15">
        <v>-4.7910000000000004</v>
      </c>
      <c r="P72" s="15">
        <v>0.129</v>
      </c>
      <c r="Q72" s="15">
        <v>-4.7380000000000004</v>
      </c>
      <c r="R72" s="15">
        <v>0.27800000000000002</v>
      </c>
      <c r="S72" s="15">
        <v>-5.2999999999999999E-2</v>
      </c>
      <c r="T72" s="15">
        <v>0.30626948900000001</v>
      </c>
      <c r="U72" s="15">
        <v>9.3800999999999995E-2</v>
      </c>
      <c r="V72" s="8">
        <v>1.08</v>
      </c>
      <c r="W72" s="20">
        <f t="shared" si="35"/>
        <v>1.2836890000000001</v>
      </c>
      <c r="AA72" s="10" t="s">
        <v>157</v>
      </c>
    </row>
    <row r="73" spans="10:61" ht="17">
      <c r="J73" s="15" t="s">
        <v>45</v>
      </c>
      <c r="K73" s="15" t="s">
        <v>46</v>
      </c>
      <c r="L73" s="8" t="s">
        <v>27</v>
      </c>
      <c r="M73" s="15" t="s">
        <v>28</v>
      </c>
      <c r="N73" s="15" t="s">
        <v>65</v>
      </c>
      <c r="O73" s="15">
        <v>-8.3170000000000002</v>
      </c>
      <c r="P73" s="15">
        <v>0.129</v>
      </c>
      <c r="Q73" s="15">
        <v>-8.484</v>
      </c>
      <c r="R73" s="15">
        <v>6.2E-2</v>
      </c>
      <c r="S73" s="15">
        <v>0.16700000000000001</v>
      </c>
      <c r="T73" s="15">
        <v>0.14295453799999999</v>
      </c>
      <c r="U73" s="15">
        <v>2.0435999999999999E-2</v>
      </c>
      <c r="V73" s="50">
        <v>-0.21</v>
      </c>
      <c r="W73" s="20">
        <f t="shared" si="35"/>
        <v>0.14212900000000001</v>
      </c>
      <c r="AA73" s="12" t="s">
        <v>30</v>
      </c>
      <c r="AB73" s="12" t="s">
        <v>31</v>
      </c>
      <c r="AC73" s="13" t="s">
        <v>32</v>
      </c>
      <c r="AD73" s="12" t="s">
        <v>33</v>
      </c>
      <c r="AE73" s="12" t="s">
        <v>34</v>
      </c>
      <c r="AF73" s="12" t="s">
        <v>35</v>
      </c>
      <c r="AG73" s="12" t="s">
        <v>36</v>
      </c>
      <c r="AH73" s="12" t="s">
        <v>37</v>
      </c>
      <c r="AI73" s="12" t="s">
        <v>38</v>
      </c>
      <c r="AJ73" s="12" t="s">
        <v>39</v>
      </c>
      <c r="AK73" s="14" t="s">
        <v>40</v>
      </c>
      <c r="AL73" s="12" t="s">
        <v>41</v>
      </c>
      <c r="AM73" s="12" t="s">
        <v>42</v>
      </c>
      <c r="AN73" s="12" t="s">
        <v>43</v>
      </c>
      <c r="AV73" s="10" t="s">
        <v>114</v>
      </c>
    </row>
    <row r="74" spans="10:61">
      <c r="J74" s="15" t="s">
        <v>45</v>
      </c>
      <c r="K74" s="15" t="s">
        <v>46</v>
      </c>
      <c r="L74" s="8" t="s">
        <v>25</v>
      </c>
      <c r="M74" s="15" t="s">
        <v>87</v>
      </c>
      <c r="N74" s="15" t="s">
        <v>93</v>
      </c>
      <c r="O74" s="15">
        <v>71.927000000000007</v>
      </c>
      <c r="P74" s="15">
        <v>0.27500000000000002</v>
      </c>
      <c r="Q74" s="15">
        <v>69.840999999999994</v>
      </c>
      <c r="R74" s="15">
        <v>0.218</v>
      </c>
      <c r="S74" s="15">
        <v>2.0859999999999999</v>
      </c>
      <c r="T74" s="15">
        <v>0.35065937899999999</v>
      </c>
      <c r="U74" s="15">
        <v>0.122962</v>
      </c>
      <c r="V74" s="8">
        <v>1.1100000000000001</v>
      </c>
      <c r="W74" s="20">
        <f t="shared" si="35"/>
        <v>0.95257599999999953</v>
      </c>
      <c r="AA74" s="46" t="s">
        <v>235</v>
      </c>
      <c r="AB74" s="46" t="s">
        <v>46</v>
      </c>
      <c r="AC74" s="8" t="s">
        <v>5</v>
      </c>
      <c r="AD74" s="46" t="s">
        <v>47</v>
      </c>
      <c r="AE74" s="46" t="s">
        <v>56</v>
      </c>
      <c r="AF74" s="15">
        <v>-13.398999999999999</v>
      </c>
      <c r="AG74" s="15">
        <v>0.249</v>
      </c>
      <c r="AH74" s="15">
        <v>-13.057</v>
      </c>
      <c r="AI74" s="15">
        <v>0.16700000000000001</v>
      </c>
      <c r="AJ74" s="15">
        <f>(AF74-AH74)</f>
        <v>-0.34199999999999875</v>
      </c>
      <c r="AK74" s="15">
        <f>SQRT((AG74)^2 + (AI74)^2)</f>
        <v>0.29981661061388842</v>
      </c>
      <c r="AL74" s="15">
        <f>AK74^2</f>
        <v>8.9889999999999998E-2</v>
      </c>
      <c r="AM74" s="8">
        <v>-0.01</v>
      </c>
      <c r="AN74" s="15">
        <f>(AJ74-AM74)^2</f>
        <v>0.11022399999999917</v>
      </c>
      <c r="AV74" s="12" t="s">
        <v>30</v>
      </c>
      <c r="AW74" s="12" t="s">
        <v>31</v>
      </c>
      <c r="AX74" s="13" t="s">
        <v>32</v>
      </c>
      <c r="AY74" s="12" t="s">
        <v>33</v>
      </c>
      <c r="AZ74" s="12" t="s">
        <v>34</v>
      </c>
      <c r="BA74" s="12" t="s">
        <v>35</v>
      </c>
      <c r="BB74" s="12" t="s">
        <v>36</v>
      </c>
      <c r="BC74" s="12" t="s">
        <v>37</v>
      </c>
      <c r="BD74" s="12" t="s">
        <v>38</v>
      </c>
      <c r="BE74" s="12" t="s">
        <v>39</v>
      </c>
      <c r="BF74" s="14" t="s">
        <v>40</v>
      </c>
      <c r="BG74" s="12" t="s">
        <v>41</v>
      </c>
      <c r="BH74" s="12" t="s">
        <v>42</v>
      </c>
      <c r="BI74" s="12" t="s">
        <v>43</v>
      </c>
    </row>
    <row r="75" spans="10:61">
      <c r="J75" s="15" t="s">
        <v>45</v>
      </c>
      <c r="K75" s="15" t="s">
        <v>70</v>
      </c>
      <c r="L75" s="8" t="s">
        <v>14</v>
      </c>
      <c r="M75" s="15" t="s">
        <v>226</v>
      </c>
      <c r="N75" s="15" t="s">
        <v>227</v>
      </c>
      <c r="O75" s="15">
        <v>-10.670999999999999</v>
      </c>
      <c r="P75" s="15">
        <v>0.23100000000000001</v>
      </c>
      <c r="Q75" s="15">
        <v>-10.119999999999999</v>
      </c>
      <c r="R75" s="15">
        <v>0.10299999999999999</v>
      </c>
      <c r="S75" s="15">
        <v>-0.55100000000000005</v>
      </c>
      <c r="T75" s="15">
        <v>0.25312249999999997</v>
      </c>
      <c r="U75" s="15">
        <v>6.4071000000000003E-2</v>
      </c>
      <c r="V75" s="8">
        <v>-0.78</v>
      </c>
      <c r="W75" s="15">
        <f>(S75-V75)^2</f>
        <v>5.2440999999999995E-2</v>
      </c>
      <c r="AA75" s="46" t="s">
        <v>235</v>
      </c>
      <c r="AB75" s="46" t="s">
        <v>46</v>
      </c>
      <c r="AC75" s="8" t="s">
        <v>7</v>
      </c>
      <c r="AD75" s="46" t="s">
        <v>48</v>
      </c>
      <c r="AE75" s="46" t="s">
        <v>57</v>
      </c>
      <c r="AF75" s="15">
        <v>10.939</v>
      </c>
      <c r="AG75" s="15">
        <v>0.183</v>
      </c>
      <c r="AH75" s="15">
        <v>11.262</v>
      </c>
      <c r="AI75" s="15">
        <v>0.254</v>
      </c>
      <c r="AJ75" s="15">
        <f t="shared" ref="AJ75:AJ88" si="36">(AF75-AH75)</f>
        <v>-0.3230000000000004</v>
      </c>
      <c r="AK75" s="15">
        <f t="shared" ref="AK75:AK88" si="37">SQRT((AG75)^2 + (AI75)^2)</f>
        <v>0.31305750270517396</v>
      </c>
      <c r="AL75" s="15">
        <f t="shared" ref="AL75:AL88" si="38">AK75^2</f>
        <v>9.8005000000000009E-2</v>
      </c>
      <c r="AM75" s="8">
        <v>0.7</v>
      </c>
      <c r="AN75" s="15">
        <f t="shared" ref="AN75:AN88" si="39">(AJ75-AM75)^2</f>
        <v>1.0465290000000007</v>
      </c>
      <c r="AV75" s="46" t="s">
        <v>101</v>
      </c>
      <c r="AW75" s="46" t="s">
        <v>46</v>
      </c>
      <c r="AX75" s="8" t="s">
        <v>5</v>
      </c>
      <c r="AY75" s="46" t="s">
        <v>47</v>
      </c>
      <c r="AZ75" s="46" t="s">
        <v>56</v>
      </c>
      <c r="BA75" s="45">
        <v>-12.821</v>
      </c>
      <c r="BB75" s="45">
        <v>9.5000000000000001E-2</v>
      </c>
      <c r="BC75" s="45">
        <v>-13.186999999999999</v>
      </c>
      <c r="BD75" s="45">
        <v>0.24099999999999999</v>
      </c>
      <c r="BE75" s="15">
        <f>BA75-BC75</f>
        <v>0.36599999999999966</v>
      </c>
      <c r="BF75" s="15">
        <f>SQRT((BB75)^2 + (BD75)^2)</f>
        <v>0.25904825805243314</v>
      </c>
      <c r="BG75" s="15">
        <f>BF75^2</f>
        <v>6.7105999999999999E-2</v>
      </c>
      <c r="BH75" s="8">
        <v>-0.01</v>
      </c>
      <c r="BI75" s="15">
        <f>(BE75-BH75)^2</f>
        <v>0.14137599999999975</v>
      </c>
    </row>
    <row r="76" spans="10:61">
      <c r="J76" s="15" t="s">
        <v>45</v>
      </c>
      <c r="K76" s="15" t="s">
        <v>70</v>
      </c>
      <c r="L76" s="8" t="s">
        <v>4</v>
      </c>
      <c r="M76" s="15" t="s">
        <v>228</v>
      </c>
      <c r="N76" s="15" t="s">
        <v>229</v>
      </c>
      <c r="O76" s="15">
        <v>46.561</v>
      </c>
      <c r="P76" s="15">
        <v>0.14699999999999999</v>
      </c>
      <c r="Q76" s="15">
        <v>46.682000000000002</v>
      </c>
      <c r="R76" s="15">
        <v>8.6999999999999994E-2</v>
      </c>
      <c r="S76" s="15">
        <v>-0.121</v>
      </c>
      <c r="T76" s="15">
        <v>0.17105262299999999</v>
      </c>
      <c r="U76" s="15">
        <v>2.9259E-2</v>
      </c>
      <c r="V76" s="8">
        <v>-0.24</v>
      </c>
      <c r="W76" s="15">
        <f t="shared" ref="W76:W77" si="40">(S76-V76)^2</f>
        <v>1.4160999999999998E-2</v>
      </c>
      <c r="AA76" s="20" t="s">
        <v>101</v>
      </c>
      <c r="AB76" s="46" t="s">
        <v>46</v>
      </c>
      <c r="AC76" s="8" t="s">
        <v>9</v>
      </c>
      <c r="AD76" s="53" t="s">
        <v>83</v>
      </c>
      <c r="AE76" s="20" t="s">
        <v>89</v>
      </c>
      <c r="AF76" s="20">
        <v>-34.756</v>
      </c>
      <c r="AG76" s="20">
        <v>0.41899999999999998</v>
      </c>
      <c r="AH76" s="15">
        <v>-37.732999999999997</v>
      </c>
      <c r="AI76" s="15">
        <v>0.26400000000000001</v>
      </c>
      <c r="AJ76" s="15">
        <f t="shared" si="36"/>
        <v>2.9769999999999968</v>
      </c>
      <c r="AK76" s="15">
        <f t="shared" si="37"/>
        <v>0.49523428798902847</v>
      </c>
      <c r="AL76" s="15">
        <f t="shared" si="38"/>
        <v>0.24525699999999998</v>
      </c>
      <c r="AM76" s="8">
        <v>1.19</v>
      </c>
      <c r="AN76" s="15">
        <f t="shared" si="39"/>
        <v>3.1933689999999886</v>
      </c>
      <c r="AV76" s="46" t="s">
        <v>101</v>
      </c>
      <c r="AW76" s="46" t="s">
        <v>46</v>
      </c>
      <c r="AX76" s="8" t="s">
        <v>7</v>
      </c>
      <c r="AY76" s="46" t="s">
        <v>48</v>
      </c>
      <c r="AZ76" s="46" t="s">
        <v>57</v>
      </c>
      <c r="BA76" s="45">
        <v>10.983000000000001</v>
      </c>
      <c r="BB76" s="45">
        <v>0.105</v>
      </c>
      <c r="BC76" s="45">
        <v>11.526999999999999</v>
      </c>
      <c r="BD76" s="45">
        <v>0.17799999999999999</v>
      </c>
      <c r="BE76" s="15">
        <f t="shared" ref="BE76:BE89" si="41">BA76-BC76</f>
        <v>-0.54399999999999871</v>
      </c>
      <c r="BF76" s="15">
        <f t="shared" ref="BF76:BF89" si="42">SQRT((BB76)^2 + (BD76)^2)</f>
        <v>0.20666155907667008</v>
      </c>
      <c r="BG76" s="15">
        <f t="shared" ref="BG76:BG89" si="43">BF76^2</f>
        <v>4.2708999999999997E-2</v>
      </c>
      <c r="BH76" s="8">
        <v>0.7</v>
      </c>
      <c r="BI76" s="15">
        <f t="shared" ref="BI76:BI89" si="44">(BE76-BH76)^2</f>
        <v>1.5475359999999967</v>
      </c>
    </row>
    <row r="77" spans="10:61">
      <c r="J77" s="15" t="s">
        <v>45</v>
      </c>
      <c r="K77" s="15" t="s">
        <v>70</v>
      </c>
      <c r="L77" s="8" t="s">
        <v>12</v>
      </c>
      <c r="M77" s="15" t="s">
        <v>233</v>
      </c>
      <c r="N77" s="15" t="s">
        <v>105</v>
      </c>
      <c r="O77" s="15">
        <v>-24.277000000000001</v>
      </c>
      <c r="P77" s="15">
        <v>0.27900000000000003</v>
      </c>
      <c r="Q77" s="15">
        <v>-24.07</v>
      </c>
      <c r="R77" s="15">
        <v>0.23300000000000001</v>
      </c>
      <c r="S77" s="15">
        <v>-0.20699999999999999</v>
      </c>
      <c r="T77" s="15">
        <v>0.36334694200000001</v>
      </c>
      <c r="U77" s="15">
        <v>0.132021</v>
      </c>
      <c r="V77" s="8">
        <v>0.85</v>
      </c>
      <c r="W77" s="15">
        <f t="shared" si="40"/>
        <v>1.1172489999999999</v>
      </c>
      <c r="AA77" s="20" t="s">
        <v>101</v>
      </c>
      <c r="AB77" s="46" t="s">
        <v>46</v>
      </c>
      <c r="AC77" s="8" t="s">
        <v>11</v>
      </c>
      <c r="AD77" s="53" t="s">
        <v>84</v>
      </c>
      <c r="AE77" s="20" t="s">
        <v>90</v>
      </c>
      <c r="AF77" s="15">
        <v>-40.82</v>
      </c>
      <c r="AG77" s="15">
        <v>0.33</v>
      </c>
      <c r="AH77" s="15">
        <v>-41.286000000000001</v>
      </c>
      <c r="AI77" s="15">
        <v>0.107</v>
      </c>
      <c r="AJ77" s="15">
        <f t="shared" si="36"/>
        <v>0.46600000000000108</v>
      </c>
      <c r="AK77" s="15">
        <f t="shared" si="37"/>
        <v>0.34691353389569568</v>
      </c>
      <c r="AL77" s="15">
        <f t="shared" si="38"/>
        <v>0.120349</v>
      </c>
      <c r="AM77" s="8">
        <v>1.28</v>
      </c>
      <c r="AN77" s="15">
        <f t="shared" si="39"/>
        <v>0.6625959999999983</v>
      </c>
      <c r="AV77" s="20" t="s">
        <v>101</v>
      </c>
      <c r="AW77" s="46" t="s">
        <v>46</v>
      </c>
      <c r="AX77" s="8" t="s">
        <v>9</v>
      </c>
      <c r="AY77" s="53" t="s">
        <v>83</v>
      </c>
      <c r="AZ77" s="20" t="s">
        <v>89</v>
      </c>
      <c r="BA77" s="20">
        <v>-34.756</v>
      </c>
      <c r="BB77" s="20">
        <v>0.41899999999999998</v>
      </c>
      <c r="BC77" s="15">
        <v>-37.732999999999997</v>
      </c>
      <c r="BD77" s="15">
        <v>0.26400000000000001</v>
      </c>
      <c r="BE77" s="15">
        <f t="shared" si="41"/>
        <v>2.9769999999999968</v>
      </c>
      <c r="BF77" s="15">
        <f t="shared" si="42"/>
        <v>0.49523428798902847</v>
      </c>
      <c r="BG77" s="15">
        <f t="shared" si="43"/>
        <v>0.24525699999999998</v>
      </c>
      <c r="BH77" s="8">
        <v>1.19</v>
      </c>
      <c r="BI77" s="15">
        <f t="shared" si="44"/>
        <v>3.1933689999999886</v>
      </c>
    </row>
    <row r="78" spans="10:61">
      <c r="U78" s="18" t="s">
        <v>67</v>
      </c>
      <c r="V78" s="18"/>
      <c r="W78" s="18" t="s">
        <v>67</v>
      </c>
      <c r="AA78" s="20" t="s">
        <v>82</v>
      </c>
      <c r="AB78" s="46" t="s">
        <v>46</v>
      </c>
      <c r="AC78" s="8" t="s">
        <v>13</v>
      </c>
      <c r="AD78" s="55" t="s">
        <v>49</v>
      </c>
      <c r="AE78" s="20" t="s">
        <v>58</v>
      </c>
      <c r="AF78" s="15">
        <v>11.664999999999999</v>
      </c>
      <c r="AG78" s="15">
        <v>0.20100000000000001</v>
      </c>
      <c r="AH78" s="15">
        <v>11.569000000000001</v>
      </c>
      <c r="AI78" s="15">
        <v>2.1000000000000001E-2</v>
      </c>
      <c r="AJ78" s="15">
        <f t="shared" si="36"/>
        <v>9.5999999999998309E-2</v>
      </c>
      <c r="AK78" s="15">
        <f t="shared" si="37"/>
        <v>0.20209403751719149</v>
      </c>
      <c r="AL78" s="15">
        <f t="shared" si="38"/>
        <v>4.0842000000000003E-2</v>
      </c>
      <c r="AM78" s="8">
        <v>-1.28</v>
      </c>
      <c r="AN78" s="15">
        <f t="shared" si="39"/>
        <v>1.8933759999999955</v>
      </c>
      <c r="AV78" s="20" t="s">
        <v>101</v>
      </c>
      <c r="AW78" s="46" t="s">
        <v>46</v>
      </c>
      <c r="AX78" s="8" t="s">
        <v>11</v>
      </c>
      <c r="AY78" s="53" t="s">
        <v>84</v>
      </c>
      <c r="AZ78" s="20" t="s">
        <v>90</v>
      </c>
      <c r="BA78" s="15">
        <v>-40.82</v>
      </c>
      <c r="BB78" s="15">
        <v>0.33</v>
      </c>
      <c r="BC78" s="15">
        <v>-41.286000000000001</v>
      </c>
      <c r="BD78" s="15">
        <v>0.107</v>
      </c>
      <c r="BE78" s="15">
        <f t="shared" si="41"/>
        <v>0.46600000000000108</v>
      </c>
      <c r="BF78" s="15">
        <f t="shared" si="42"/>
        <v>0.34691353389569568</v>
      </c>
      <c r="BG78" s="15">
        <f t="shared" si="43"/>
        <v>0.120349</v>
      </c>
      <c r="BH78" s="8">
        <v>1.28</v>
      </c>
      <c r="BI78" s="15">
        <f t="shared" si="44"/>
        <v>0.6625959999999983</v>
      </c>
    </row>
    <row r="79" spans="10:61">
      <c r="U79" s="11">
        <f>SUM(U64:U77)</f>
        <v>1.2602159999999998</v>
      </c>
      <c r="W79" s="11">
        <f>SUM(W64:W77)</f>
        <v>42.804199999999994</v>
      </c>
      <c r="AA79" s="46" t="s">
        <v>82</v>
      </c>
      <c r="AB79" s="46" t="s">
        <v>46</v>
      </c>
      <c r="AC79" s="8" t="s">
        <v>15</v>
      </c>
      <c r="AD79" s="46" t="s">
        <v>50</v>
      </c>
      <c r="AE79" s="46" t="s">
        <v>59</v>
      </c>
      <c r="AF79" s="15">
        <v>14.804</v>
      </c>
      <c r="AG79" s="15">
        <v>0.19500000000000001</v>
      </c>
      <c r="AH79" s="15">
        <v>13.321999999999999</v>
      </c>
      <c r="AI79" s="15">
        <v>0.20899999999999999</v>
      </c>
      <c r="AJ79" s="15">
        <f t="shared" si="36"/>
        <v>1.4820000000000011</v>
      </c>
      <c r="AK79" s="15">
        <f t="shared" si="37"/>
        <v>0.28584261403786526</v>
      </c>
      <c r="AL79" s="15">
        <f t="shared" si="38"/>
        <v>8.1706000000000001E-2</v>
      </c>
      <c r="AM79" s="8">
        <v>1.26</v>
      </c>
      <c r="AN79" s="15">
        <f t="shared" si="39"/>
        <v>4.928400000000048E-2</v>
      </c>
      <c r="AV79" s="20" t="s">
        <v>101</v>
      </c>
      <c r="AW79" s="46" t="s">
        <v>46</v>
      </c>
      <c r="AX79" s="8" t="s">
        <v>13</v>
      </c>
      <c r="AY79" s="55" t="s">
        <v>49</v>
      </c>
      <c r="AZ79" s="20" t="s">
        <v>58</v>
      </c>
      <c r="BA79" s="45">
        <v>11.759</v>
      </c>
      <c r="BB79" s="45">
        <v>0.193</v>
      </c>
      <c r="BC79" s="45">
        <v>11.755000000000001</v>
      </c>
      <c r="BD79" s="45">
        <v>5.0999999999999997E-2</v>
      </c>
      <c r="BE79" s="15">
        <f t="shared" si="41"/>
        <v>3.9999999999995595E-3</v>
      </c>
      <c r="BF79" s="15">
        <f t="shared" si="42"/>
        <v>0.1996246477767713</v>
      </c>
      <c r="BG79" s="15">
        <f t="shared" si="43"/>
        <v>3.9850000000000003E-2</v>
      </c>
      <c r="BH79" s="8">
        <v>-1.28</v>
      </c>
      <c r="BI79" s="15">
        <f t="shared" si="44"/>
        <v>1.648655999999999</v>
      </c>
    </row>
    <row r="80" spans="10:61">
      <c r="AA80" s="46" t="s">
        <v>82</v>
      </c>
      <c r="AB80" s="46" t="s">
        <v>46</v>
      </c>
      <c r="AC80" s="8" t="s">
        <v>16</v>
      </c>
      <c r="AD80" s="46" t="s">
        <v>51</v>
      </c>
      <c r="AE80" s="46" t="s">
        <v>60</v>
      </c>
      <c r="AF80" s="15">
        <v>-5.4770000000000003</v>
      </c>
      <c r="AG80" s="15">
        <v>0.129</v>
      </c>
      <c r="AH80" s="15">
        <v>-6.0810000000000004</v>
      </c>
      <c r="AI80" s="15">
        <v>3.1E-2</v>
      </c>
      <c r="AJ80" s="15">
        <f t="shared" si="36"/>
        <v>0.60400000000000009</v>
      </c>
      <c r="AK80" s="15">
        <f t="shared" si="37"/>
        <v>0.13267252918370101</v>
      </c>
      <c r="AL80" s="15">
        <f t="shared" si="38"/>
        <v>1.7601999999999996E-2</v>
      </c>
      <c r="AM80" s="8">
        <v>1.35</v>
      </c>
      <c r="AN80" s="15">
        <f t="shared" si="39"/>
        <v>0.55651600000000001</v>
      </c>
      <c r="AV80" s="20" t="s">
        <v>101</v>
      </c>
      <c r="AW80" s="46" t="s">
        <v>46</v>
      </c>
      <c r="AX80" s="8" t="s">
        <v>15</v>
      </c>
      <c r="AY80" s="46" t="s">
        <v>50</v>
      </c>
      <c r="AZ80" s="46" t="s">
        <v>59</v>
      </c>
      <c r="BA80" s="45">
        <v>15.079000000000001</v>
      </c>
      <c r="BB80" s="45">
        <v>0.20399999999999999</v>
      </c>
      <c r="BC80" s="45">
        <v>13.419</v>
      </c>
      <c r="BD80" s="45">
        <v>8.5999999999999993E-2</v>
      </c>
      <c r="BE80" s="15">
        <f t="shared" si="41"/>
        <v>1.6600000000000001</v>
      </c>
      <c r="BF80" s="15">
        <f t="shared" si="42"/>
        <v>0.22138653978957257</v>
      </c>
      <c r="BG80" s="15">
        <f t="shared" si="43"/>
        <v>4.9012E-2</v>
      </c>
      <c r="BH80" s="8">
        <v>1.26</v>
      </c>
      <c r="BI80" s="15">
        <f t="shared" si="44"/>
        <v>0.16000000000000011</v>
      </c>
    </row>
    <row r="81" spans="22:61">
      <c r="V81" s="19" t="s">
        <v>68</v>
      </c>
      <c r="W81" s="11">
        <f>SQRT(W79/14)</f>
        <v>1.7485545050534903</v>
      </c>
      <c r="AA81" s="46" t="s">
        <v>82</v>
      </c>
      <c r="AB81" s="46" t="s">
        <v>46</v>
      </c>
      <c r="AC81" s="8" t="s">
        <v>17</v>
      </c>
      <c r="AD81" s="46" t="s">
        <v>52</v>
      </c>
      <c r="AE81" s="46" t="s">
        <v>61</v>
      </c>
      <c r="AF81" s="15">
        <v>71.843000000000004</v>
      </c>
      <c r="AG81" s="15">
        <v>0.31900000000000001</v>
      </c>
      <c r="AH81" s="15">
        <v>70.042000000000002</v>
      </c>
      <c r="AI81" s="15">
        <v>6.8000000000000005E-2</v>
      </c>
      <c r="AJ81" s="15">
        <f t="shared" si="36"/>
        <v>1.8010000000000019</v>
      </c>
      <c r="AK81" s="15">
        <f t="shared" si="37"/>
        <v>0.32616713507035011</v>
      </c>
      <c r="AL81" s="15">
        <f t="shared" si="38"/>
        <v>0.10638500000000001</v>
      </c>
      <c r="AM81" s="8">
        <v>1.76</v>
      </c>
      <c r="AN81" s="15">
        <f t="shared" si="39"/>
        <v>1.6810000000001578E-3</v>
      </c>
      <c r="AV81" s="20" t="s">
        <v>101</v>
      </c>
      <c r="AW81" s="46" t="s">
        <v>46</v>
      </c>
      <c r="AX81" s="8" t="s">
        <v>16</v>
      </c>
      <c r="AY81" s="46" t="s">
        <v>51</v>
      </c>
      <c r="AZ81" s="46" t="s">
        <v>60</v>
      </c>
      <c r="BA81" s="45">
        <v>-4.9950000000000001</v>
      </c>
      <c r="BB81" s="45">
        <v>0.10299999999999999</v>
      </c>
      <c r="BC81" s="45">
        <v>-6.1840000000000002</v>
      </c>
      <c r="BD81" s="45">
        <v>8.7999999999999995E-2</v>
      </c>
      <c r="BE81" s="15">
        <f t="shared" si="41"/>
        <v>1.1890000000000001</v>
      </c>
      <c r="BF81" s="15">
        <f t="shared" si="42"/>
        <v>0.13547324459095234</v>
      </c>
      <c r="BG81" s="15">
        <f t="shared" si="43"/>
        <v>1.8352999999999998E-2</v>
      </c>
      <c r="BH81" s="8">
        <v>1.35</v>
      </c>
      <c r="BI81" s="15">
        <f t="shared" si="44"/>
        <v>2.592100000000001E-2</v>
      </c>
    </row>
    <row r="82" spans="22:61">
      <c r="V82" s="19" t="s">
        <v>40</v>
      </c>
      <c r="W82" s="11">
        <f>SQRT(U79/14)</f>
        <v>0.30002571318376786</v>
      </c>
      <c r="AA82" s="20" t="s">
        <v>82</v>
      </c>
      <c r="AB82" s="46" t="s">
        <v>46</v>
      </c>
      <c r="AC82" s="8" t="s">
        <v>18</v>
      </c>
      <c r="AD82" s="55" t="s">
        <v>85</v>
      </c>
      <c r="AE82" s="20" t="s">
        <v>91</v>
      </c>
      <c r="AF82" s="15">
        <v>-6.5830000000000002</v>
      </c>
      <c r="AG82" s="15">
        <v>0.23400000000000001</v>
      </c>
      <c r="AH82" s="15">
        <v>-7.016</v>
      </c>
      <c r="AI82" s="15">
        <v>0.11799999999999999</v>
      </c>
      <c r="AJ82" s="15">
        <f t="shared" si="36"/>
        <v>0.43299999999999983</v>
      </c>
      <c r="AK82" s="15">
        <f t="shared" si="37"/>
        <v>0.2620686932847951</v>
      </c>
      <c r="AL82" s="15">
        <f t="shared" si="38"/>
        <v>6.8680000000000005E-2</v>
      </c>
      <c r="AM82" s="8">
        <v>0.54</v>
      </c>
      <c r="AN82" s="15">
        <f t="shared" si="39"/>
        <v>1.1449000000000044E-2</v>
      </c>
      <c r="AV82" s="20" t="s">
        <v>101</v>
      </c>
      <c r="AW82" s="46" t="s">
        <v>46</v>
      </c>
      <c r="AX82" s="8" t="s">
        <v>17</v>
      </c>
      <c r="AY82" s="46" t="s">
        <v>52</v>
      </c>
      <c r="AZ82" s="46" t="s">
        <v>61</v>
      </c>
      <c r="BA82" s="45">
        <v>71.355999999999995</v>
      </c>
      <c r="BB82" s="45">
        <v>0.192</v>
      </c>
      <c r="BC82" s="45">
        <v>70.099999999999994</v>
      </c>
      <c r="BD82" s="45">
        <v>2.5000000000000001E-2</v>
      </c>
      <c r="BE82" s="15">
        <f t="shared" si="41"/>
        <v>1.2560000000000002</v>
      </c>
      <c r="BF82" s="15">
        <f t="shared" si="42"/>
        <v>0.19362076334938874</v>
      </c>
      <c r="BG82" s="15">
        <f t="shared" si="43"/>
        <v>3.7489000000000001E-2</v>
      </c>
      <c r="BH82" s="8">
        <v>1.76</v>
      </c>
      <c r="BI82" s="15">
        <f t="shared" si="44"/>
        <v>0.2540159999999998</v>
      </c>
    </row>
    <row r="83" spans="22:61">
      <c r="AA83" s="46" t="s">
        <v>82</v>
      </c>
      <c r="AB83" s="46" t="s">
        <v>46</v>
      </c>
      <c r="AC83" s="8" t="s">
        <v>20</v>
      </c>
      <c r="AD83" s="46" t="s">
        <v>53</v>
      </c>
      <c r="AE83" s="46" t="s">
        <v>62</v>
      </c>
      <c r="AF83" s="15">
        <v>46.905999999999999</v>
      </c>
      <c r="AG83" s="15">
        <v>0.184</v>
      </c>
      <c r="AH83" s="15">
        <v>45.795000000000002</v>
      </c>
      <c r="AI83" s="15">
        <v>5.5E-2</v>
      </c>
      <c r="AJ83" s="15">
        <f t="shared" si="36"/>
        <v>1.1109999999999971</v>
      </c>
      <c r="AK83" s="15">
        <f t="shared" si="37"/>
        <v>0.19204426573058617</v>
      </c>
      <c r="AL83" s="15">
        <f t="shared" si="38"/>
        <v>3.688099999999999E-2</v>
      </c>
      <c r="AM83" s="8">
        <v>-0.35</v>
      </c>
      <c r="AN83" s="15">
        <f t="shared" si="39"/>
        <v>2.1345209999999919</v>
      </c>
      <c r="AV83" s="20" t="s">
        <v>101</v>
      </c>
      <c r="AW83" s="46" t="s">
        <v>46</v>
      </c>
      <c r="AX83" s="8" t="s">
        <v>18</v>
      </c>
      <c r="AY83" s="55" t="s">
        <v>85</v>
      </c>
      <c r="AZ83" s="20" t="s">
        <v>91</v>
      </c>
      <c r="BA83" s="45">
        <v>-6.3330000000000002</v>
      </c>
      <c r="BB83" s="45">
        <v>0.27700000000000002</v>
      </c>
      <c r="BC83" s="45">
        <v>-6.9560000000000004</v>
      </c>
      <c r="BD83" s="45">
        <v>8.2000000000000003E-2</v>
      </c>
      <c r="BE83" s="15">
        <f t="shared" si="41"/>
        <v>0.62300000000000022</v>
      </c>
      <c r="BF83" s="15">
        <f t="shared" si="42"/>
        <v>0.28888232898535005</v>
      </c>
      <c r="BG83" s="15">
        <f t="shared" si="43"/>
        <v>8.3453000000000013E-2</v>
      </c>
      <c r="BH83" s="8">
        <v>0.54</v>
      </c>
      <c r="BI83" s="15">
        <f t="shared" si="44"/>
        <v>6.8890000000000305E-3</v>
      </c>
    </row>
    <row r="84" spans="22:61">
      <c r="AA84" s="46" t="s">
        <v>82</v>
      </c>
      <c r="AB84" s="46" t="s">
        <v>46</v>
      </c>
      <c r="AC84" s="8" t="s">
        <v>22</v>
      </c>
      <c r="AD84" s="46" t="s">
        <v>54</v>
      </c>
      <c r="AE84" s="46" t="s">
        <v>63</v>
      </c>
      <c r="AF84" s="15">
        <v>-2.1920000000000002</v>
      </c>
      <c r="AG84" s="15">
        <v>0.159</v>
      </c>
      <c r="AH84" s="15">
        <v>-2.2450000000000001</v>
      </c>
      <c r="AI84" s="15">
        <v>0.10299999999999999</v>
      </c>
      <c r="AJ84" s="15">
        <f t="shared" si="36"/>
        <v>5.2999999999999936E-2</v>
      </c>
      <c r="AK84" s="15">
        <f t="shared" si="37"/>
        <v>0.18944656238633625</v>
      </c>
      <c r="AL84" s="15">
        <f t="shared" si="38"/>
        <v>3.5889999999999991E-2</v>
      </c>
      <c r="AM84" s="8">
        <v>0.52</v>
      </c>
      <c r="AN84" s="15">
        <f t="shared" si="39"/>
        <v>0.21808900000000009</v>
      </c>
      <c r="AV84" s="20" t="s">
        <v>101</v>
      </c>
      <c r="AW84" s="46" t="s">
        <v>46</v>
      </c>
      <c r="AX84" s="8" t="s">
        <v>20</v>
      </c>
      <c r="AY84" s="46" t="s">
        <v>53</v>
      </c>
      <c r="AZ84" s="46" t="s">
        <v>62</v>
      </c>
      <c r="BA84" s="45">
        <v>46.356999999999999</v>
      </c>
      <c r="BB84" s="45">
        <v>0.10100000000000001</v>
      </c>
      <c r="BC84" s="45">
        <v>45.561999999999998</v>
      </c>
      <c r="BD84" s="45">
        <v>8.1000000000000003E-2</v>
      </c>
      <c r="BE84" s="15">
        <f t="shared" si="41"/>
        <v>0.79500000000000171</v>
      </c>
      <c r="BF84" s="15">
        <f t="shared" si="42"/>
        <v>0.12946814279968646</v>
      </c>
      <c r="BG84" s="15">
        <f t="shared" si="43"/>
        <v>1.6762000000000006E-2</v>
      </c>
      <c r="BH84" s="8">
        <v>-0.35</v>
      </c>
      <c r="BI84" s="15">
        <f t="shared" si="44"/>
        <v>1.3110250000000041</v>
      </c>
    </row>
    <row r="85" spans="22:61">
      <c r="AA85" s="46" t="s">
        <v>82</v>
      </c>
      <c r="AB85" s="46" t="s">
        <v>46</v>
      </c>
      <c r="AC85" s="8" t="s">
        <v>23</v>
      </c>
      <c r="AD85" s="46" t="s">
        <v>55</v>
      </c>
      <c r="AE85" s="46" t="s">
        <v>64</v>
      </c>
      <c r="AF85" s="15">
        <v>-4.4020000000000001</v>
      </c>
      <c r="AG85" s="15">
        <v>0.20300000000000001</v>
      </c>
      <c r="AH85" s="15">
        <v>-4.3949999999999996</v>
      </c>
      <c r="AI85" s="15">
        <v>0.108</v>
      </c>
      <c r="AJ85" s="15">
        <f t="shared" si="36"/>
        <v>-7.0000000000005613E-3</v>
      </c>
      <c r="AK85" s="15">
        <f t="shared" si="37"/>
        <v>0.22994129685639333</v>
      </c>
      <c r="AL85" s="15">
        <f t="shared" si="38"/>
        <v>5.2873000000000003E-2</v>
      </c>
      <c r="AM85" s="8">
        <v>1.08</v>
      </c>
      <c r="AN85" s="15">
        <f t="shared" si="39"/>
        <v>1.1815690000000014</v>
      </c>
      <c r="AV85" s="20" t="s">
        <v>101</v>
      </c>
      <c r="AW85" s="46" t="s">
        <v>46</v>
      </c>
      <c r="AX85" s="8" t="s">
        <v>22</v>
      </c>
      <c r="AY85" s="46" t="s">
        <v>54</v>
      </c>
      <c r="AZ85" s="46" t="s">
        <v>63</v>
      </c>
      <c r="BA85" s="45">
        <v>-2.2810000000000001</v>
      </c>
      <c r="BB85" s="45">
        <v>5.7000000000000002E-2</v>
      </c>
      <c r="BC85" s="45">
        <v>-2.3380000000000001</v>
      </c>
      <c r="BD85" s="45">
        <v>8.2000000000000003E-2</v>
      </c>
      <c r="BE85" s="15">
        <f t="shared" si="41"/>
        <v>5.699999999999994E-2</v>
      </c>
      <c r="BF85" s="15">
        <f t="shared" si="42"/>
        <v>9.9864908751773271E-2</v>
      </c>
      <c r="BG85" s="15">
        <f t="shared" si="43"/>
        <v>9.973000000000001E-3</v>
      </c>
      <c r="BH85" s="8">
        <v>0.52</v>
      </c>
      <c r="BI85" s="15">
        <f t="shared" si="44"/>
        <v>0.21436900000000006</v>
      </c>
    </row>
    <row r="86" spans="22:61">
      <c r="AA86" s="46" t="s">
        <v>82</v>
      </c>
      <c r="AB86" s="46" t="s">
        <v>46</v>
      </c>
      <c r="AC86" s="8" t="s">
        <v>27</v>
      </c>
      <c r="AD86" s="46" t="s">
        <v>28</v>
      </c>
      <c r="AE86" s="46" t="s">
        <v>65</v>
      </c>
      <c r="AF86" s="15">
        <v>-8.2170000000000005</v>
      </c>
      <c r="AG86" s="15">
        <v>0.112</v>
      </c>
      <c r="AH86" s="15">
        <v>-8.6379999999999999</v>
      </c>
      <c r="AI86" s="15">
        <v>4.2999999999999997E-2</v>
      </c>
      <c r="AJ86" s="15">
        <f t="shared" si="36"/>
        <v>0.42099999999999937</v>
      </c>
      <c r="AK86" s="15">
        <f t="shared" si="37"/>
        <v>0.11997082978791136</v>
      </c>
      <c r="AL86" s="15">
        <f t="shared" si="38"/>
        <v>1.4393E-2</v>
      </c>
      <c r="AM86" s="50">
        <v>-0.21</v>
      </c>
      <c r="AN86" s="15">
        <f t="shared" si="39"/>
        <v>0.39816099999999915</v>
      </c>
      <c r="AV86" s="20" t="s">
        <v>101</v>
      </c>
      <c r="AW86" s="46" t="s">
        <v>46</v>
      </c>
      <c r="AX86" s="8" t="s">
        <v>23</v>
      </c>
      <c r="AY86" s="46" t="s">
        <v>55</v>
      </c>
      <c r="AZ86" s="46" t="s">
        <v>64</v>
      </c>
      <c r="BA86" s="45">
        <v>-3.681</v>
      </c>
      <c r="BB86" s="45">
        <v>0.11600000000000001</v>
      </c>
      <c r="BC86" s="45">
        <v>-4.391</v>
      </c>
      <c r="BD86" s="45">
        <v>5.8000000000000003E-2</v>
      </c>
      <c r="BE86" s="15">
        <f t="shared" si="41"/>
        <v>0.71</v>
      </c>
      <c r="BF86" s="15">
        <f t="shared" si="42"/>
        <v>0.12969194269498782</v>
      </c>
      <c r="BG86" s="15">
        <f t="shared" si="43"/>
        <v>1.6820000000000005E-2</v>
      </c>
      <c r="BH86" s="8">
        <v>1.08</v>
      </c>
      <c r="BI86" s="15">
        <f t="shared" si="44"/>
        <v>0.13690000000000008</v>
      </c>
    </row>
    <row r="87" spans="22:61">
      <c r="AA87" s="46" t="s">
        <v>235</v>
      </c>
      <c r="AB87" s="46" t="s">
        <v>46</v>
      </c>
      <c r="AC87" s="8" t="s">
        <v>25</v>
      </c>
      <c r="AD87" s="46" t="s">
        <v>87</v>
      </c>
      <c r="AE87" s="46" t="s">
        <v>93</v>
      </c>
      <c r="AF87" s="15">
        <v>71.721999999999994</v>
      </c>
      <c r="AG87" s="15">
        <v>0.29499999999999998</v>
      </c>
      <c r="AH87" s="15">
        <v>70.009</v>
      </c>
      <c r="AI87" s="15">
        <v>0.104</v>
      </c>
      <c r="AJ87" s="15">
        <f t="shared" si="36"/>
        <v>1.7129999999999939</v>
      </c>
      <c r="AK87" s="15">
        <f t="shared" si="37"/>
        <v>0.31279546032511402</v>
      </c>
      <c r="AL87" s="15">
        <f t="shared" si="38"/>
        <v>9.7840999999999984E-2</v>
      </c>
      <c r="AM87" s="8">
        <v>1.1100000000000001</v>
      </c>
      <c r="AN87" s="15">
        <f t="shared" si="39"/>
        <v>0.36360899999999247</v>
      </c>
      <c r="AV87" s="20" t="s">
        <v>101</v>
      </c>
      <c r="AW87" s="46" t="s">
        <v>46</v>
      </c>
      <c r="AX87" s="8" t="s">
        <v>27</v>
      </c>
      <c r="AY87" s="46" t="s">
        <v>28</v>
      </c>
      <c r="AZ87" s="46" t="s">
        <v>65</v>
      </c>
      <c r="BA87" s="45">
        <v>-8.2780000000000005</v>
      </c>
      <c r="BB87" s="45">
        <v>6.4000000000000001E-2</v>
      </c>
      <c r="BC87" s="45">
        <v>-8.4909999999999997</v>
      </c>
      <c r="BD87" s="45">
        <v>6.7000000000000004E-2</v>
      </c>
      <c r="BE87" s="15">
        <f t="shared" si="41"/>
        <v>0.21299999999999919</v>
      </c>
      <c r="BF87" s="15">
        <f t="shared" si="42"/>
        <v>9.2655275079188026E-2</v>
      </c>
      <c r="BG87" s="15">
        <f t="shared" si="43"/>
        <v>8.5850000000000024E-3</v>
      </c>
      <c r="BH87" s="50">
        <v>-0.21</v>
      </c>
      <c r="BI87" s="15">
        <f t="shared" si="44"/>
        <v>0.17892899999999928</v>
      </c>
    </row>
    <row r="88" spans="22:61">
      <c r="AA88" s="20" t="s">
        <v>101</v>
      </c>
      <c r="AB88" s="46" t="s">
        <v>46</v>
      </c>
      <c r="AC88" s="8" t="s">
        <v>26</v>
      </c>
      <c r="AD88" s="55" t="s">
        <v>88</v>
      </c>
      <c r="AE88" s="20" t="s">
        <v>94</v>
      </c>
      <c r="AF88" s="20">
        <v>-35.145000000000003</v>
      </c>
      <c r="AG88" s="20">
        <v>0.308</v>
      </c>
      <c r="AH88" s="20">
        <v>-39.378</v>
      </c>
      <c r="AI88" s="20">
        <v>0.28899999999999998</v>
      </c>
      <c r="AJ88" s="15">
        <f t="shared" si="36"/>
        <v>4.232999999999997</v>
      </c>
      <c r="AK88" s="15">
        <f t="shared" si="37"/>
        <v>0.42235648450094854</v>
      </c>
      <c r="AL88" s="15">
        <f t="shared" si="38"/>
        <v>0.17838499999999999</v>
      </c>
      <c r="AM88" s="8">
        <v>4.45</v>
      </c>
      <c r="AN88" s="15">
        <f t="shared" si="39"/>
        <v>4.7089000000001387E-2</v>
      </c>
      <c r="AV88" s="20" t="s">
        <v>101</v>
      </c>
      <c r="AW88" s="46" t="s">
        <v>46</v>
      </c>
      <c r="AX88" s="8" t="s">
        <v>25</v>
      </c>
      <c r="AY88" s="46" t="s">
        <v>87</v>
      </c>
      <c r="AZ88" s="46" t="s">
        <v>93</v>
      </c>
      <c r="BA88" s="45">
        <v>69.941000000000003</v>
      </c>
      <c r="BB88" s="45">
        <v>0.314</v>
      </c>
      <c r="BC88" s="45">
        <v>69.125</v>
      </c>
      <c r="BD88" s="45">
        <v>0.155</v>
      </c>
      <c r="BE88" s="15">
        <f t="shared" si="41"/>
        <v>0.8160000000000025</v>
      </c>
      <c r="BF88" s="15">
        <f t="shared" si="42"/>
        <v>0.35017281447879417</v>
      </c>
      <c r="BG88" s="15">
        <f t="shared" si="43"/>
        <v>0.12262099999999999</v>
      </c>
      <c r="BH88" s="8">
        <v>1.1100000000000001</v>
      </c>
      <c r="BI88" s="15">
        <f t="shared" si="44"/>
        <v>8.6435999999998583E-2</v>
      </c>
    </row>
    <row r="89" spans="22:61">
      <c r="AA89" s="44" t="s">
        <v>82</v>
      </c>
      <c r="AB89" s="46" t="s">
        <v>70</v>
      </c>
      <c r="AC89" s="8" t="s">
        <v>4</v>
      </c>
      <c r="AD89" s="51">
        <v>547</v>
      </c>
      <c r="AE89" s="44" t="s">
        <v>229</v>
      </c>
      <c r="AF89" s="45">
        <v>46.506999999999998</v>
      </c>
      <c r="AG89" s="45">
        <v>0.156</v>
      </c>
      <c r="AH89" s="45">
        <v>46.517000000000003</v>
      </c>
      <c r="AI89" s="45">
        <v>4.1000000000000002E-2</v>
      </c>
      <c r="AJ89" s="45">
        <f>(AF89-AH89)</f>
        <v>-1.0000000000005116E-2</v>
      </c>
      <c r="AK89" s="45">
        <f>SQRT((AG89)^2 + (AI89)^2)</f>
        <v>0.16129786111415118</v>
      </c>
      <c r="AL89" s="45">
        <f>AK89^2</f>
        <v>2.6017000000000002E-2</v>
      </c>
      <c r="AM89" s="8">
        <v>-0.24</v>
      </c>
      <c r="AN89" s="45">
        <f>(AJ89-AM89)^2</f>
        <v>5.2899999999997643E-2</v>
      </c>
      <c r="AV89" s="20" t="s">
        <v>101</v>
      </c>
      <c r="AW89" s="46" t="s">
        <v>46</v>
      </c>
      <c r="AX89" s="8" t="s">
        <v>26</v>
      </c>
      <c r="AY89" s="55" t="s">
        <v>88</v>
      </c>
      <c r="AZ89" s="20" t="s">
        <v>94</v>
      </c>
      <c r="BA89" s="20">
        <v>-35.145000000000003</v>
      </c>
      <c r="BB89" s="20">
        <v>0.308</v>
      </c>
      <c r="BC89" s="20">
        <v>-39.378</v>
      </c>
      <c r="BD89" s="20">
        <v>0.28899999999999998</v>
      </c>
      <c r="BE89" s="15">
        <f t="shared" si="41"/>
        <v>4.232999999999997</v>
      </c>
      <c r="BF89" s="15">
        <f t="shared" si="42"/>
        <v>0.42235648450094854</v>
      </c>
      <c r="BG89" s="15">
        <f t="shared" si="43"/>
        <v>0.17838499999999999</v>
      </c>
      <c r="BH89" s="8">
        <v>4.45</v>
      </c>
      <c r="BI89" s="15">
        <f t="shared" si="44"/>
        <v>4.7089000000001387E-2</v>
      </c>
    </row>
    <row r="90" spans="22:61">
      <c r="AA90" s="44" t="s">
        <v>82</v>
      </c>
      <c r="AB90" s="46" t="s">
        <v>70</v>
      </c>
      <c r="AC90" s="8" t="s">
        <v>12</v>
      </c>
      <c r="AD90" s="51">
        <v>611</v>
      </c>
      <c r="AE90" s="20" t="s">
        <v>105</v>
      </c>
      <c r="AF90" s="45">
        <v>-24.513999999999999</v>
      </c>
      <c r="AG90" s="45">
        <v>0.28599999999999998</v>
      </c>
      <c r="AH90" s="45">
        <v>-24.052</v>
      </c>
      <c r="AI90" s="45">
        <v>0.17199999999999999</v>
      </c>
      <c r="AJ90" s="45">
        <f t="shared" ref="AJ90:AJ91" si="45">(AF90-AH90)</f>
        <v>-0.46199999999999974</v>
      </c>
      <c r="AK90" s="45">
        <f t="shared" ref="AK90:AK91" si="46">SQRT((AG90)^2 + (AI90)^2)</f>
        <v>0.33373642294481431</v>
      </c>
      <c r="AL90" s="45">
        <f t="shared" ref="AL90:AL91" si="47">AK90^2</f>
        <v>0.11137999999999998</v>
      </c>
      <c r="AM90" s="8">
        <v>0.85</v>
      </c>
      <c r="AN90" s="45">
        <f t="shared" ref="AN90:AN91" si="48">(AJ90-AM90)^2</f>
        <v>1.7213439999999995</v>
      </c>
      <c r="AV90" s="46" t="s">
        <v>101</v>
      </c>
      <c r="AW90" s="46" t="s">
        <v>70</v>
      </c>
      <c r="AX90" s="8" t="s">
        <v>4</v>
      </c>
      <c r="AY90" s="51">
        <v>547</v>
      </c>
      <c r="AZ90" s="44" t="s">
        <v>229</v>
      </c>
      <c r="BA90" s="15">
        <v>46.640999999999998</v>
      </c>
      <c r="BB90" s="15">
        <v>7.1999999999999995E-2</v>
      </c>
      <c r="BC90" s="15">
        <v>46.692999999999998</v>
      </c>
      <c r="BD90" s="15">
        <v>6.0999999999999999E-2</v>
      </c>
      <c r="BE90" s="15">
        <v>-5.1999999999999998E-2</v>
      </c>
      <c r="BF90" s="15">
        <v>9.4010637999999994E-2</v>
      </c>
      <c r="BG90" s="15">
        <v>8.8380000000000004E-3</v>
      </c>
      <c r="BH90" s="8">
        <v>-0.24</v>
      </c>
      <c r="BI90" s="15">
        <f>(BE90-BH90)^2</f>
        <v>3.5344E-2</v>
      </c>
    </row>
    <row r="91" spans="22:61">
      <c r="AA91" s="44" t="s">
        <v>82</v>
      </c>
      <c r="AB91" s="46" t="s">
        <v>70</v>
      </c>
      <c r="AC91" s="8" t="s">
        <v>14</v>
      </c>
      <c r="AD91" s="51">
        <v>523</v>
      </c>
      <c r="AE91" s="20" t="s">
        <v>227</v>
      </c>
      <c r="AF91" s="45">
        <v>-10.824</v>
      </c>
      <c r="AG91" s="45">
        <v>0.187</v>
      </c>
      <c r="AH91" s="45">
        <v>-10.196</v>
      </c>
      <c r="AI91" s="45">
        <v>5.6000000000000001E-2</v>
      </c>
      <c r="AJ91" s="45">
        <f t="shared" si="45"/>
        <v>-0.62800000000000011</v>
      </c>
      <c r="AK91" s="45">
        <f t="shared" si="46"/>
        <v>0.19520502042724208</v>
      </c>
      <c r="AL91" s="45">
        <f t="shared" si="47"/>
        <v>3.8105E-2</v>
      </c>
      <c r="AM91" s="8">
        <v>-0.78</v>
      </c>
      <c r="AN91" s="45">
        <f t="shared" si="48"/>
        <v>2.3103999999999975E-2</v>
      </c>
      <c r="AV91" s="46" t="s">
        <v>101</v>
      </c>
      <c r="AW91" s="46" t="s">
        <v>70</v>
      </c>
      <c r="AX91" s="8" t="s">
        <v>12</v>
      </c>
      <c r="AY91" s="51">
        <v>611</v>
      </c>
      <c r="AZ91" s="20" t="s">
        <v>105</v>
      </c>
      <c r="BA91" s="15">
        <v>-24.239000000000001</v>
      </c>
      <c r="BB91" s="15">
        <v>0.20799999999999999</v>
      </c>
      <c r="BC91" s="15">
        <v>-23.966000000000001</v>
      </c>
      <c r="BD91" s="15">
        <v>0.111</v>
      </c>
      <c r="BE91" s="15">
        <v>-0.27300000000000002</v>
      </c>
      <c r="BF91" s="15">
        <v>0.23565653</v>
      </c>
      <c r="BG91" s="15">
        <v>5.5534E-2</v>
      </c>
      <c r="BH91" s="8">
        <v>0.85</v>
      </c>
      <c r="BI91" s="15">
        <f t="shared" ref="BI91:BI92" si="49">(BE91-BH91)^2</f>
        <v>1.2611289999999999</v>
      </c>
    </row>
    <row r="92" spans="22:61">
      <c r="AL92" s="18" t="s">
        <v>67</v>
      </c>
      <c r="AM92" s="18"/>
      <c r="AN92" s="18" t="s">
        <v>67</v>
      </c>
      <c r="AV92" s="46" t="s">
        <v>101</v>
      </c>
      <c r="AW92" s="46" t="s">
        <v>70</v>
      </c>
      <c r="AX92" s="8" t="s">
        <v>14</v>
      </c>
      <c r="AY92" s="51">
        <v>523</v>
      </c>
      <c r="AZ92" s="20" t="s">
        <v>227</v>
      </c>
      <c r="BA92" s="15">
        <v>-10.75</v>
      </c>
      <c r="BB92" s="15">
        <v>7.3999999999999996E-2</v>
      </c>
      <c r="BC92" s="15">
        <v>-9.9920000000000009</v>
      </c>
      <c r="BD92" s="15">
        <v>6.4000000000000001E-2</v>
      </c>
      <c r="BE92" s="15">
        <v>-0.75800000000000001</v>
      </c>
      <c r="BF92" s="15">
        <v>9.7780365999999994E-2</v>
      </c>
      <c r="BG92" s="15">
        <v>9.5610000000000001E-3</v>
      </c>
      <c r="BH92" s="8">
        <v>-0.78</v>
      </c>
      <c r="BI92" s="15">
        <f t="shared" si="49"/>
        <v>4.8400000000000087E-4</v>
      </c>
    </row>
    <row r="93" spans="22:61">
      <c r="AL93" s="20">
        <f>SUM(AL74:AL91)</f>
        <v>1.4604810000000004</v>
      </c>
      <c r="AM93" s="20"/>
      <c r="AN93" s="20">
        <f>SUM(AN74:AN91)</f>
        <v>13.665409999999969</v>
      </c>
      <c r="BG93" s="18" t="s">
        <v>67</v>
      </c>
      <c r="BH93" s="18"/>
      <c r="BI93" s="18" t="s">
        <v>67</v>
      </c>
    </row>
    <row r="94" spans="22:61">
      <c r="BG94" s="20">
        <f>SUM(BG75:BG92)</f>
        <v>1.1306569999999996</v>
      </c>
      <c r="BH94" s="20"/>
      <c r="BI94" s="20">
        <f>SUM(BI75:BI92)</f>
        <v>10.912063999999988</v>
      </c>
    </row>
    <row r="95" spans="22:61">
      <c r="AM95" s="19" t="s">
        <v>68</v>
      </c>
      <c r="AN95" s="20">
        <f>SQRT(AN93/18)</f>
        <v>0.87131477919546541</v>
      </c>
    </row>
    <row r="96" spans="22:61">
      <c r="AM96" s="19" t="s">
        <v>40</v>
      </c>
      <c r="AN96" s="20">
        <f>SQRT(AL93/18)</f>
        <v>0.28484703497374403</v>
      </c>
      <c r="BH96" s="19" t="s">
        <v>68</v>
      </c>
      <c r="BI96" s="20">
        <f>SQRT(BI94/18)</f>
        <v>0.77860502039081225</v>
      </c>
    </row>
    <row r="97" spans="60:61">
      <c r="BH97" s="19" t="s">
        <v>40</v>
      </c>
      <c r="BI97" s="20">
        <f>SQRT(BG94/18)</f>
        <v>0.25062776737180931</v>
      </c>
    </row>
  </sheetData>
  <phoneticPr fontId="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D9EA0-AD31-8E4B-8EE8-868C77A9579D}">
  <dimension ref="A1:BP86"/>
  <sheetViews>
    <sheetView topLeftCell="Z29" workbookViewId="0">
      <selection activeCell="AA40" sqref="AA40:AN56"/>
    </sheetView>
  </sheetViews>
  <sheetFormatPr baseColWidth="10" defaultRowHeight="16"/>
  <cols>
    <col min="1" max="1" width="21.5" customWidth="1"/>
    <col min="2" max="2" width="39.83203125" customWidth="1"/>
    <col min="5" max="5" width="24.1640625" customWidth="1"/>
    <col min="6" max="6" width="36.33203125" customWidth="1"/>
    <col min="7" max="7" width="14.33203125" customWidth="1"/>
    <col min="11" max="11" width="11.83203125" customWidth="1"/>
    <col min="12" max="12" width="19" customWidth="1"/>
    <col min="13" max="13" width="13.33203125" customWidth="1"/>
    <col min="15" max="15" width="15.1640625" customWidth="1"/>
    <col min="16" max="16" width="19.83203125" customWidth="1"/>
    <col min="17" max="17" width="16.83203125" customWidth="1"/>
    <col min="18" max="18" width="19.5" customWidth="1"/>
    <col min="20" max="20" width="13.1640625" customWidth="1"/>
    <col min="21" max="21" width="14" customWidth="1"/>
    <col min="23" max="23" width="13.1640625" customWidth="1"/>
    <col min="24" max="24" width="18.83203125" customWidth="1"/>
    <col min="25" max="25" width="10.83203125" customWidth="1"/>
    <col min="26" max="26" width="22.83203125" customWidth="1"/>
    <col min="28" max="28" width="15.33203125" customWidth="1"/>
    <col min="29" max="29" width="14.33203125" customWidth="1"/>
    <col min="32" max="32" width="12.6640625" customWidth="1"/>
    <col min="33" max="33" width="20.5" customWidth="1"/>
    <col min="34" max="34" width="15.1640625" customWidth="1"/>
    <col min="35" max="35" width="19.6640625" customWidth="1"/>
    <col min="38" max="38" width="12.6640625" customWidth="1"/>
    <col min="40" max="40" width="14.6640625" customWidth="1"/>
    <col min="41" max="41" width="19.33203125" customWidth="1"/>
    <col min="55" max="55" width="13" customWidth="1"/>
    <col min="56" max="56" width="16.33203125" customWidth="1"/>
    <col min="58" max="58" width="12.6640625" customWidth="1"/>
    <col min="59" max="59" width="17.33203125" customWidth="1"/>
    <col min="60" max="60" width="23.5" customWidth="1"/>
    <col min="61" max="61" width="16.1640625" customWidth="1"/>
    <col min="62" max="62" width="21.1640625" customWidth="1"/>
    <col min="65" max="65" width="13.83203125" customWidth="1"/>
    <col min="67" max="67" width="13.83203125" customWidth="1"/>
    <col min="68" max="68" width="18.5" customWidth="1"/>
  </cols>
  <sheetData>
    <row r="1" spans="1:68" ht="17">
      <c r="A1" s="2" t="s">
        <v>115</v>
      </c>
      <c r="B1" s="2" t="s">
        <v>116</v>
      </c>
      <c r="C1" s="2" t="s">
        <v>2</v>
      </c>
      <c r="D1" s="1"/>
      <c r="E1" s="2" t="s">
        <v>117</v>
      </c>
      <c r="F1" s="2" t="s">
        <v>118</v>
      </c>
      <c r="G1" s="2" t="s">
        <v>2</v>
      </c>
      <c r="J1" s="10" t="s">
        <v>29</v>
      </c>
      <c r="K1" s="11"/>
      <c r="L1" s="11"/>
      <c r="M1" s="11"/>
      <c r="N1" s="11"/>
      <c r="O1" s="11"/>
      <c r="P1" s="11"/>
      <c r="Q1" s="11"/>
      <c r="R1" s="11"/>
      <c r="S1" s="11"/>
      <c r="T1" s="11"/>
      <c r="U1" s="11"/>
      <c r="V1" s="11"/>
      <c r="W1" s="11"/>
      <c r="X1" s="11"/>
      <c r="AA1" s="10" t="s">
        <v>81</v>
      </c>
      <c r="AB1" s="11"/>
      <c r="AC1" s="11"/>
      <c r="AD1" s="11"/>
      <c r="AE1" s="11"/>
      <c r="AF1" s="11"/>
      <c r="AG1" s="11"/>
      <c r="AH1" s="11"/>
      <c r="AI1" s="11"/>
      <c r="AJ1" s="11"/>
      <c r="AK1" s="11"/>
      <c r="AL1" s="11"/>
      <c r="AM1" s="11"/>
      <c r="AN1" s="11"/>
      <c r="AO1" s="11"/>
      <c r="BB1" s="10" t="s">
        <v>111</v>
      </c>
      <c r="BC1" s="11"/>
      <c r="BD1" s="11"/>
      <c r="BE1" s="11"/>
      <c r="BF1" s="11"/>
      <c r="BG1" s="11"/>
      <c r="BH1" s="11"/>
      <c r="BI1" s="11"/>
      <c r="BJ1" s="11"/>
      <c r="BK1" s="11"/>
      <c r="BL1" s="11"/>
      <c r="BM1" s="11"/>
      <c r="BN1" s="11"/>
      <c r="BO1" s="11"/>
      <c r="BP1" s="11"/>
    </row>
    <row r="2" spans="1:68">
      <c r="A2" s="16" t="s">
        <v>4</v>
      </c>
      <c r="B2" s="16" t="s">
        <v>245</v>
      </c>
      <c r="C2" s="16">
        <v>-0.22</v>
      </c>
      <c r="D2" s="1"/>
      <c r="E2" s="25" t="s">
        <v>9</v>
      </c>
      <c r="F2" s="3" t="s">
        <v>83</v>
      </c>
      <c r="G2" s="16">
        <v>1.48</v>
      </c>
      <c r="J2" s="12" t="s">
        <v>30</v>
      </c>
      <c r="K2" s="12" t="s">
        <v>31</v>
      </c>
      <c r="L2" s="13" t="s">
        <v>32</v>
      </c>
      <c r="M2" s="12" t="s">
        <v>33</v>
      </c>
      <c r="N2" s="12" t="s">
        <v>34</v>
      </c>
      <c r="O2" s="12" t="s">
        <v>35</v>
      </c>
      <c r="P2" s="12" t="s">
        <v>36</v>
      </c>
      <c r="Q2" s="12" t="s">
        <v>37</v>
      </c>
      <c r="R2" s="12" t="s">
        <v>38</v>
      </c>
      <c r="S2" s="12" t="s">
        <v>39</v>
      </c>
      <c r="T2" s="14" t="s">
        <v>40</v>
      </c>
      <c r="U2" s="12" t="s">
        <v>41</v>
      </c>
      <c r="V2" s="12" t="s">
        <v>42</v>
      </c>
      <c r="W2" s="12" t="s">
        <v>43</v>
      </c>
      <c r="X2" s="12" t="s">
        <v>44</v>
      </c>
      <c r="AA2" s="12" t="s">
        <v>30</v>
      </c>
      <c r="AB2" s="12" t="s">
        <v>31</v>
      </c>
      <c r="AC2" s="13" t="s">
        <v>32</v>
      </c>
      <c r="AD2" s="12" t="s">
        <v>33</v>
      </c>
      <c r="AE2" s="12" t="s">
        <v>34</v>
      </c>
      <c r="AF2" s="12" t="s">
        <v>35</v>
      </c>
      <c r="AG2" s="12" t="s">
        <v>36</v>
      </c>
      <c r="AH2" s="12" t="s">
        <v>37</v>
      </c>
      <c r="AI2" s="12" t="s">
        <v>38</v>
      </c>
      <c r="AJ2" s="12" t="s">
        <v>39</v>
      </c>
      <c r="AK2" s="14" t="s">
        <v>40</v>
      </c>
      <c r="AL2" s="12" t="s">
        <v>41</v>
      </c>
      <c r="AM2" s="12" t="s">
        <v>42</v>
      </c>
      <c r="AN2" s="12" t="s">
        <v>43</v>
      </c>
      <c r="AO2" s="12" t="s">
        <v>44</v>
      </c>
      <c r="BB2" s="12" t="s">
        <v>30</v>
      </c>
      <c r="BC2" s="12" t="s">
        <v>31</v>
      </c>
      <c r="BD2" s="13" t="s">
        <v>32</v>
      </c>
      <c r="BE2" s="12" t="s">
        <v>33</v>
      </c>
      <c r="BF2" s="12" t="s">
        <v>34</v>
      </c>
      <c r="BG2" s="12" t="s">
        <v>35</v>
      </c>
      <c r="BH2" s="12" t="s">
        <v>36</v>
      </c>
      <c r="BI2" s="12" t="s">
        <v>37</v>
      </c>
      <c r="BJ2" s="12" t="s">
        <v>38</v>
      </c>
      <c r="BK2" s="12" t="s">
        <v>39</v>
      </c>
      <c r="BL2" s="14" t="s">
        <v>40</v>
      </c>
      <c r="BM2" s="12" t="s">
        <v>41</v>
      </c>
      <c r="BN2" s="12" t="s">
        <v>42</v>
      </c>
      <c r="BO2" s="12" t="s">
        <v>43</v>
      </c>
      <c r="BP2" s="12" t="s">
        <v>44</v>
      </c>
    </row>
    <row r="3" spans="1:68">
      <c r="A3" s="16" t="s">
        <v>119</v>
      </c>
      <c r="B3" s="16" t="s">
        <v>246</v>
      </c>
      <c r="C3" s="16">
        <v>0.2</v>
      </c>
      <c r="D3" s="1"/>
      <c r="E3" s="16" t="s">
        <v>11</v>
      </c>
      <c r="F3" s="3" t="s">
        <v>84</v>
      </c>
      <c r="G3" s="16">
        <v>1.33</v>
      </c>
      <c r="J3" s="46" t="s">
        <v>45</v>
      </c>
      <c r="K3" s="46" t="s">
        <v>46</v>
      </c>
      <c r="L3" s="16" t="s">
        <v>121</v>
      </c>
      <c r="M3" s="46" t="s">
        <v>122</v>
      </c>
      <c r="N3" s="46" t="s">
        <v>140</v>
      </c>
      <c r="O3" s="15">
        <v>5.8109999999999999</v>
      </c>
      <c r="P3" s="15">
        <v>0.26</v>
      </c>
      <c r="Q3" s="15">
        <v>6.3979999999999997</v>
      </c>
      <c r="R3" s="15">
        <v>0.13100000000000001</v>
      </c>
      <c r="S3" s="15">
        <f>(O3-Q3)</f>
        <v>-0.58699999999999974</v>
      </c>
      <c r="T3" s="15">
        <f>SQRT((P3)^2 + (R3)^2)</f>
        <v>0.29113742459532749</v>
      </c>
      <c r="U3" s="15">
        <f>T3^2</f>
        <v>8.4761000000000003E-2</v>
      </c>
      <c r="V3" s="9">
        <v>0.05</v>
      </c>
      <c r="W3" s="20">
        <f>(S3-V3)^2</f>
        <v>0.40576899999999971</v>
      </c>
      <c r="X3" s="20" t="s">
        <v>234</v>
      </c>
      <c r="AA3" s="1" t="s">
        <v>101</v>
      </c>
      <c r="AB3" s="46" t="s">
        <v>46</v>
      </c>
      <c r="AC3" s="25" t="s">
        <v>9</v>
      </c>
      <c r="AD3" s="3" t="s">
        <v>83</v>
      </c>
      <c r="AE3" s="1" t="s">
        <v>89</v>
      </c>
      <c r="AF3" s="1">
        <v>-33.256999999999998</v>
      </c>
      <c r="AG3" s="1">
        <v>0.222</v>
      </c>
      <c r="AH3" s="15">
        <v>-36.273000000000003</v>
      </c>
      <c r="AI3" s="15">
        <v>0.26500000000000001</v>
      </c>
      <c r="AJ3" s="20">
        <f>(AF3-AH3)</f>
        <v>3.0160000000000053</v>
      </c>
      <c r="AK3" s="20">
        <f>SQRT((AG3)^2 + (AI3)^2)</f>
        <v>0.34570073763299958</v>
      </c>
      <c r="AL3" s="20">
        <f>AK3^2</f>
        <v>0.119509</v>
      </c>
      <c r="AM3" s="9">
        <v>1.48</v>
      </c>
      <c r="AN3" s="20">
        <f>(AJ3-AM3)^2</f>
        <v>2.3592960000000165</v>
      </c>
      <c r="AO3" s="1" t="s">
        <v>252</v>
      </c>
      <c r="BB3" s="1" t="s">
        <v>101</v>
      </c>
      <c r="BC3" s="46" t="s">
        <v>46</v>
      </c>
      <c r="BD3" s="25" t="s">
        <v>9</v>
      </c>
      <c r="BE3" s="3" t="s">
        <v>83</v>
      </c>
      <c r="BF3" s="1" t="s">
        <v>89</v>
      </c>
      <c r="BG3" s="1">
        <v>-33.256999999999998</v>
      </c>
      <c r="BH3" s="1">
        <v>0.222</v>
      </c>
      <c r="BI3" s="15">
        <v>-36.273000000000003</v>
      </c>
      <c r="BJ3" s="15">
        <v>0.26500000000000001</v>
      </c>
      <c r="BK3" s="20">
        <f>(BG3-BI3)</f>
        <v>3.0160000000000053</v>
      </c>
      <c r="BL3" s="20">
        <f>SQRT((BH3)^2 + (BJ3)^2)</f>
        <v>0.34570073763299958</v>
      </c>
      <c r="BM3" s="20">
        <f>BL3^2</f>
        <v>0.119509</v>
      </c>
      <c r="BN3" s="9">
        <v>1.48</v>
      </c>
      <c r="BO3" s="20">
        <f>(BK3-BN3)^2</f>
        <v>2.3592960000000165</v>
      </c>
      <c r="BP3" s="1" t="s">
        <v>252</v>
      </c>
    </row>
    <row r="4" spans="1:68">
      <c r="A4" s="25" t="s">
        <v>120</v>
      </c>
      <c r="B4" s="16" t="s">
        <v>248</v>
      </c>
      <c r="C4" s="16">
        <v>-0.87</v>
      </c>
      <c r="D4" s="1"/>
      <c r="E4" s="16" t="s">
        <v>121</v>
      </c>
      <c r="F4" s="3" t="s">
        <v>122</v>
      </c>
      <c r="G4" s="16">
        <v>0.05</v>
      </c>
      <c r="J4" s="46" t="s">
        <v>45</v>
      </c>
      <c r="K4" s="46" t="s">
        <v>46</v>
      </c>
      <c r="L4" s="16" t="s">
        <v>124</v>
      </c>
      <c r="M4" s="46" t="s">
        <v>125</v>
      </c>
      <c r="N4" s="46" t="s">
        <v>58</v>
      </c>
      <c r="O4" s="15">
        <v>-39.886000000000003</v>
      </c>
      <c r="P4" s="15">
        <v>0.35399999999999998</v>
      </c>
      <c r="Q4" s="15">
        <v>-42.707000000000001</v>
      </c>
      <c r="R4" s="15">
        <v>0.13300000000000001</v>
      </c>
      <c r="S4" s="15">
        <f t="shared" ref="S4:S11" si="0">(O4-Q4)</f>
        <v>2.820999999999998</v>
      </c>
      <c r="T4" s="15">
        <f t="shared" ref="T4:T11" si="1">SQRT((P4)^2 + (R4)^2)</f>
        <v>0.37816001903955948</v>
      </c>
      <c r="U4" s="15">
        <f t="shared" ref="U4:U11" si="2">T4^2</f>
        <v>0.14300499999999999</v>
      </c>
      <c r="V4" s="9">
        <v>0.76</v>
      </c>
      <c r="W4" s="20">
        <f t="shared" ref="W4:W11" si="3">(S4-V4)^2</f>
        <v>4.2477209999999923</v>
      </c>
      <c r="X4" s="20" t="s">
        <v>234</v>
      </c>
      <c r="AA4" s="1" t="s">
        <v>101</v>
      </c>
      <c r="AB4" s="46" t="s">
        <v>46</v>
      </c>
      <c r="AC4" s="16" t="s">
        <v>11</v>
      </c>
      <c r="AD4" s="3" t="s">
        <v>84</v>
      </c>
      <c r="AE4" s="1" t="s">
        <v>90</v>
      </c>
      <c r="AF4" s="15">
        <v>-41.031999999999996</v>
      </c>
      <c r="AG4" s="15">
        <v>0.35899999999999999</v>
      </c>
      <c r="AH4" s="15">
        <v>-42.084000000000003</v>
      </c>
      <c r="AI4" s="15">
        <v>0.17699999999999999</v>
      </c>
      <c r="AJ4" s="20">
        <f t="shared" ref="AJ4:AJ15" si="4">(AF4-AH4)</f>
        <v>1.0520000000000067</v>
      </c>
      <c r="AK4" s="20">
        <f t="shared" ref="AK4:AK15" si="5">SQRT((AG4)^2 + (AI4)^2)</f>
        <v>0.40026241392366585</v>
      </c>
      <c r="AL4" s="20">
        <f t="shared" ref="AL4:AL15" si="6">AK4^2</f>
        <v>0.16021000000000002</v>
      </c>
      <c r="AM4" s="9">
        <v>1.33</v>
      </c>
      <c r="AN4" s="20">
        <f t="shared" ref="AN4:AN15" si="7">(AJ4-AM4)^2</f>
        <v>7.7283999999996314E-2</v>
      </c>
      <c r="AO4" s="1" t="s">
        <v>253</v>
      </c>
      <c r="BB4" s="1" t="s">
        <v>101</v>
      </c>
      <c r="BC4" s="46" t="s">
        <v>46</v>
      </c>
      <c r="BD4" s="16" t="s">
        <v>11</v>
      </c>
      <c r="BE4" s="3" t="s">
        <v>84</v>
      </c>
      <c r="BF4" s="1" t="s">
        <v>90</v>
      </c>
      <c r="BG4" s="15">
        <v>-41.031999999999996</v>
      </c>
      <c r="BH4" s="15">
        <v>0.35899999999999999</v>
      </c>
      <c r="BI4" s="15">
        <v>-42.084000000000003</v>
      </c>
      <c r="BJ4" s="15">
        <v>0.17699999999999999</v>
      </c>
      <c r="BK4" s="20">
        <f t="shared" ref="BK4:BK15" si="8">(BG4-BI4)</f>
        <v>1.0520000000000067</v>
      </c>
      <c r="BL4" s="20">
        <f t="shared" ref="BL4:BL15" si="9">SQRT((BH4)^2 + (BJ4)^2)</f>
        <v>0.40026241392366585</v>
      </c>
      <c r="BM4" s="20">
        <f t="shared" ref="BM4:BM15" si="10">BL4^2</f>
        <v>0.16021000000000002</v>
      </c>
      <c r="BN4" s="9">
        <v>1.33</v>
      </c>
      <c r="BO4" s="20">
        <f t="shared" ref="BO4:BO15" si="11">(BK4-BN4)^2</f>
        <v>7.7283999999996314E-2</v>
      </c>
      <c r="BP4" s="1" t="s">
        <v>253</v>
      </c>
    </row>
    <row r="5" spans="1:68">
      <c r="A5" s="25" t="s">
        <v>123</v>
      </c>
      <c r="B5" s="24" t="s">
        <v>250</v>
      </c>
      <c r="C5" s="16">
        <v>0.83</v>
      </c>
      <c r="D5" s="1"/>
      <c r="E5" s="16" t="s">
        <v>124</v>
      </c>
      <c r="F5" s="3" t="s">
        <v>125</v>
      </c>
      <c r="G5" s="16">
        <v>0.76</v>
      </c>
      <c r="J5" s="46" t="s">
        <v>45</v>
      </c>
      <c r="K5" s="46" t="s">
        <v>46</v>
      </c>
      <c r="L5" s="16" t="s">
        <v>127</v>
      </c>
      <c r="M5" s="46" t="s">
        <v>51</v>
      </c>
      <c r="N5" s="46" t="s">
        <v>60</v>
      </c>
      <c r="O5" s="15">
        <v>-5.2329999999999997</v>
      </c>
      <c r="P5" s="15">
        <v>0.23699999999999999</v>
      </c>
      <c r="Q5" s="15">
        <v>-6.1689999999999996</v>
      </c>
      <c r="R5" s="15">
        <v>0.108</v>
      </c>
      <c r="S5" s="15">
        <f t="shared" si="0"/>
        <v>0.93599999999999994</v>
      </c>
      <c r="T5" s="15">
        <f t="shared" si="1"/>
        <v>0.2604476914852577</v>
      </c>
      <c r="U5" s="15">
        <f t="shared" si="2"/>
        <v>6.7832999999999977E-2</v>
      </c>
      <c r="V5" s="9">
        <v>1.25</v>
      </c>
      <c r="W5" s="20">
        <f t="shared" si="3"/>
        <v>9.8596000000000031E-2</v>
      </c>
      <c r="X5" s="20" t="s">
        <v>234</v>
      </c>
      <c r="AA5" s="1" t="s">
        <v>235</v>
      </c>
      <c r="AB5" s="46" t="s">
        <v>46</v>
      </c>
      <c r="AC5" s="16" t="s">
        <v>121</v>
      </c>
      <c r="AD5" s="3" t="s">
        <v>122</v>
      </c>
      <c r="AE5" s="1" t="s">
        <v>140</v>
      </c>
      <c r="AF5" s="15">
        <v>5.931</v>
      </c>
      <c r="AG5" s="15">
        <v>0.36099999999999999</v>
      </c>
      <c r="AH5" s="15">
        <v>6.2450000000000001</v>
      </c>
      <c r="AI5" s="15">
        <v>0.11700000000000001</v>
      </c>
      <c r="AJ5" s="20">
        <f t="shared" si="4"/>
        <v>-0.31400000000000006</v>
      </c>
      <c r="AK5" s="20">
        <f t="shared" si="5"/>
        <v>0.37948649514837812</v>
      </c>
      <c r="AL5" s="20">
        <f t="shared" si="6"/>
        <v>0.14401</v>
      </c>
      <c r="AM5" s="9">
        <v>0.05</v>
      </c>
      <c r="AN5" s="20">
        <f t="shared" si="7"/>
        <v>0.13249600000000003</v>
      </c>
      <c r="AO5" s="1" t="s">
        <v>254</v>
      </c>
      <c r="BB5" s="1" t="s">
        <v>101</v>
      </c>
      <c r="BC5" s="46" t="s">
        <v>46</v>
      </c>
      <c r="BD5" s="16" t="s">
        <v>121</v>
      </c>
      <c r="BE5" s="3" t="s">
        <v>122</v>
      </c>
      <c r="BF5" s="1" t="s">
        <v>140</v>
      </c>
      <c r="BG5" s="15">
        <v>5.74</v>
      </c>
      <c r="BH5" s="15">
        <v>0.311</v>
      </c>
      <c r="BI5" s="15">
        <v>5.9009999999999998</v>
      </c>
      <c r="BJ5" s="15">
        <v>5.7000000000000002E-2</v>
      </c>
      <c r="BK5" s="20">
        <f t="shared" si="8"/>
        <v>-0.16099999999999959</v>
      </c>
      <c r="BL5" s="20">
        <f t="shared" si="9"/>
        <v>0.3161803282938393</v>
      </c>
      <c r="BM5" s="20">
        <f t="shared" si="10"/>
        <v>9.9969999999999989E-2</v>
      </c>
      <c r="BN5" s="9">
        <v>0.05</v>
      </c>
      <c r="BO5" s="20">
        <f t="shared" si="11"/>
        <v>4.4520999999999825E-2</v>
      </c>
      <c r="BP5" s="1" t="s">
        <v>155</v>
      </c>
    </row>
    <row r="6" spans="1:68">
      <c r="A6" s="16"/>
      <c r="B6" s="16"/>
      <c r="C6" s="16"/>
      <c r="D6" s="1"/>
      <c r="E6" s="16" t="s">
        <v>126</v>
      </c>
      <c r="F6" s="3" t="s">
        <v>50</v>
      </c>
      <c r="G6" s="16">
        <v>0.35</v>
      </c>
      <c r="J6" s="46" t="s">
        <v>45</v>
      </c>
      <c r="K6" s="46" t="s">
        <v>46</v>
      </c>
      <c r="L6" s="16" t="s">
        <v>128</v>
      </c>
      <c r="M6" s="46" t="s">
        <v>129</v>
      </c>
      <c r="N6" s="46" t="s">
        <v>61</v>
      </c>
      <c r="O6" s="15">
        <v>-5.5110000000000001</v>
      </c>
      <c r="P6" s="15">
        <v>0.11799999999999999</v>
      </c>
      <c r="Q6" s="15">
        <v>-6.67</v>
      </c>
      <c r="R6" s="15">
        <v>0.05</v>
      </c>
      <c r="S6" s="15">
        <f t="shared" si="0"/>
        <v>1.1589999999999998</v>
      </c>
      <c r="T6" s="15">
        <f t="shared" si="1"/>
        <v>0.12815615474880634</v>
      </c>
      <c r="U6" s="15">
        <f t="shared" si="2"/>
        <v>1.6423999999999998E-2</v>
      </c>
      <c r="V6" s="9">
        <v>1.1499999999999999</v>
      </c>
      <c r="W6" s="20">
        <f t="shared" si="3"/>
        <v>8.0999999999998147E-5</v>
      </c>
      <c r="X6" s="20" t="s">
        <v>234</v>
      </c>
      <c r="AA6" s="1" t="s">
        <v>101</v>
      </c>
      <c r="AB6" s="46" t="s">
        <v>46</v>
      </c>
      <c r="AC6" s="16" t="s">
        <v>124</v>
      </c>
      <c r="AD6" s="3" t="s">
        <v>125</v>
      </c>
      <c r="AE6" s="1" t="s">
        <v>58</v>
      </c>
      <c r="AF6" s="1">
        <v>-41.08</v>
      </c>
      <c r="AG6" s="1">
        <v>0.3</v>
      </c>
      <c r="AH6" s="15">
        <v>-42.408000000000001</v>
      </c>
      <c r="AI6" s="15">
        <v>7.2999999999999995E-2</v>
      </c>
      <c r="AJ6" s="20">
        <f t="shared" si="4"/>
        <v>1.328000000000003</v>
      </c>
      <c r="AK6" s="20">
        <f t="shared" si="5"/>
        <v>0.30875394734318784</v>
      </c>
      <c r="AL6" s="20">
        <f t="shared" si="6"/>
        <v>9.5329000000000011E-2</v>
      </c>
      <c r="AM6" s="9">
        <v>0.76</v>
      </c>
      <c r="AN6" s="20">
        <f t="shared" si="7"/>
        <v>0.32262400000000335</v>
      </c>
      <c r="AO6" s="1" t="s">
        <v>255</v>
      </c>
      <c r="BB6" s="1" t="s">
        <v>101</v>
      </c>
      <c r="BC6" s="46" t="s">
        <v>46</v>
      </c>
      <c r="BD6" s="16" t="s">
        <v>124</v>
      </c>
      <c r="BE6" s="3" t="s">
        <v>125</v>
      </c>
      <c r="BF6" s="1" t="s">
        <v>58</v>
      </c>
      <c r="BG6" s="1">
        <v>-41.08</v>
      </c>
      <c r="BH6" s="1">
        <v>0.3</v>
      </c>
      <c r="BI6" s="15">
        <v>-42.408000000000001</v>
      </c>
      <c r="BJ6" s="15">
        <v>7.2999999999999995E-2</v>
      </c>
      <c r="BK6" s="20">
        <f t="shared" si="8"/>
        <v>1.328000000000003</v>
      </c>
      <c r="BL6" s="20">
        <f t="shared" si="9"/>
        <v>0.30875394734318784</v>
      </c>
      <c r="BM6" s="20">
        <f t="shared" si="10"/>
        <v>9.5329000000000011E-2</v>
      </c>
      <c r="BN6" s="9">
        <v>0.76</v>
      </c>
      <c r="BO6" s="20">
        <f t="shared" si="11"/>
        <v>0.32262400000000335</v>
      </c>
      <c r="BP6" s="1" t="s">
        <v>255</v>
      </c>
    </row>
    <row r="7" spans="1:68">
      <c r="A7" s="16"/>
      <c r="B7" s="16"/>
      <c r="C7" s="16"/>
      <c r="D7" s="1"/>
      <c r="E7" s="16" t="s">
        <v>127</v>
      </c>
      <c r="F7" s="3" t="s">
        <v>51</v>
      </c>
      <c r="G7" s="16">
        <v>1.25</v>
      </c>
      <c r="J7" s="46" t="s">
        <v>45</v>
      </c>
      <c r="K7" s="46" t="s">
        <v>46</v>
      </c>
      <c r="L7" s="16" t="s">
        <v>131</v>
      </c>
      <c r="M7" s="46" t="s">
        <v>132</v>
      </c>
      <c r="N7" s="46" t="s">
        <v>141</v>
      </c>
      <c r="O7" s="15">
        <v>48.58</v>
      </c>
      <c r="P7" s="15">
        <v>0.16700000000000001</v>
      </c>
      <c r="Q7" s="15">
        <v>46.384999999999998</v>
      </c>
      <c r="R7" s="15">
        <v>0.113</v>
      </c>
      <c r="S7" s="15">
        <f t="shared" si="0"/>
        <v>2.1950000000000003</v>
      </c>
      <c r="T7" s="15">
        <f t="shared" si="1"/>
        <v>0.20163829001457043</v>
      </c>
      <c r="U7" s="15">
        <f t="shared" si="2"/>
        <v>4.0658000000000014E-2</v>
      </c>
      <c r="V7" s="9">
        <v>1.1100000000000001</v>
      </c>
      <c r="W7" s="20">
        <f t="shared" si="3"/>
        <v>1.1772250000000004</v>
      </c>
      <c r="X7" s="20" t="s">
        <v>234</v>
      </c>
      <c r="AA7" s="1" t="s">
        <v>235</v>
      </c>
      <c r="AB7" s="46" t="s">
        <v>46</v>
      </c>
      <c r="AC7" s="16" t="s">
        <v>126</v>
      </c>
      <c r="AD7" s="3" t="s">
        <v>50</v>
      </c>
      <c r="AE7" s="1" t="s">
        <v>59</v>
      </c>
      <c r="AF7" s="15">
        <v>15.148</v>
      </c>
      <c r="AG7" s="15">
        <v>0.10299999999999999</v>
      </c>
      <c r="AH7" s="1">
        <v>13.061</v>
      </c>
      <c r="AI7" s="1">
        <v>0.09</v>
      </c>
      <c r="AJ7" s="20">
        <f t="shared" si="4"/>
        <v>2.0869999999999997</v>
      </c>
      <c r="AK7" s="20">
        <f t="shared" si="5"/>
        <v>0.1367808466123821</v>
      </c>
      <c r="AL7" s="20">
        <f t="shared" si="6"/>
        <v>1.8709E-2</v>
      </c>
      <c r="AM7" s="9">
        <v>0.35</v>
      </c>
      <c r="AN7" s="20">
        <f t="shared" si="7"/>
        <v>3.0171689999999987</v>
      </c>
      <c r="AO7" s="1" t="s">
        <v>254</v>
      </c>
      <c r="BB7" s="1" t="s">
        <v>101</v>
      </c>
      <c r="BC7" s="46" t="s">
        <v>46</v>
      </c>
      <c r="BD7" s="16" t="s">
        <v>126</v>
      </c>
      <c r="BE7" s="3" t="s">
        <v>50</v>
      </c>
      <c r="BF7" s="1" t="s">
        <v>59</v>
      </c>
      <c r="BG7" s="15">
        <v>15.252000000000001</v>
      </c>
      <c r="BH7" s="15">
        <v>0.17299999999999999</v>
      </c>
      <c r="BI7" s="1">
        <v>13.148999999999999</v>
      </c>
      <c r="BJ7" s="1">
        <v>0.11600000000000001</v>
      </c>
      <c r="BK7" s="20">
        <f t="shared" si="8"/>
        <v>2.1030000000000015</v>
      </c>
      <c r="BL7" s="20">
        <f t="shared" si="9"/>
        <v>0.20829066229670498</v>
      </c>
      <c r="BM7" s="20">
        <f t="shared" si="10"/>
        <v>4.3385E-2</v>
      </c>
      <c r="BN7" s="9">
        <v>0.35</v>
      </c>
      <c r="BO7" s="20">
        <f t="shared" si="11"/>
        <v>3.0730090000000052</v>
      </c>
      <c r="BP7" s="1" t="s">
        <v>262</v>
      </c>
    </row>
    <row r="8" spans="1:68">
      <c r="A8" s="16"/>
      <c r="B8" s="16"/>
      <c r="C8" s="16"/>
      <c r="D8" s="1"/>
      <c r="E8" s="16" t="s">
        <v>128</v>
      </c>
      <c r="F8" s="3" t="s">
        <v>129</v>
      </c>
      <c r="G8" s="16">
        <v>1.1499999999999999</v>
      </c>
      <c r="J8" s="46" t="s">
        <v>45</v>
      </c>
      <c r="K8" s="46" t="s">
        <v>46</v>
      </c>
      <c r="L8" s="16" t="s">
        <v>133</v>
      </c>
      <c r="M8" s="46" t="s">
        <v>53</v>
      </c>
      <c r="N8" s="46" t="s">
        <v>62</v>
      </c>
      <c r="O8" s="15">
        <v>46.439</v>
      </c>
      <c r="P8" s="15">
        <v>0.22900000000000001</v>
      </c>
      <c r="Q8" s="15">
        <v>45.734999999999999</v>
      </c>
      <c r="R8" s="15">
        <v>8.2000000000000003E-2</v>
      </c>
      <c r="S8" s="15">
        <f t="shared" si="0"/>
        <v>0.70400000000000063</v>
      </c>
      <c r="T8" s="15">
        <f t="shared" si="1"/>
        <v>0.24323856602109789</v>
      </c>
      <c r="U8" s="15">
        <f t="shared" si="2"/>
        <v>5.9164999999999995E-2</v>
      </c>
      <c r="V8" s="9">
        <v>0.55000000000000004</v>
      </c>
      <c r="W8" s="20">
        <f t="shared" si="3"/>
        <v>2.3716000000000178E-2</v>
      </c>
      <c r="X8" s="20" t="s">
        <v>234</v>
      </c>
      <c r="AA8" s="1" t="s">
        <v>235</v>
      </c>
      <c r="AB8" s="46" t="s">
        <v>46</v>
      </c>
      <c r="AC8" s="16" t="s">
        <v>127</v>
      </c>
      <c r="AD8" s="3" t="s">
        <v>51</v>
      </c>
      <c r="AE8" s="1" t="s">
        <v>60</v>
      </c>
      <c r="AF8" s="15">
        <v>-4.5380000000000003</v>
      </c>
      <c r="AG8" s="15">
        <v>0.28499999999999998</v>
      </c>
      <c r="AH8" s="15">
        <v>-6.1989999999999998</v>
      </c>
      <c r="AI8" s="15">
        <v>6.5000000000000002E-2</v>
      </c>
      <c r="AJ8" s="20">
        <f t="shared" si="4"/>
        <v>1.6609999999999996</v>
      </c>
      <c r="AK8" s="20">
        <f t="shared" si="5"/>
        <v>0.29231831964486932</v>
      </c>
      <c r="AL8" s="20">
        <f t="shared" si="6"/>
        <v>8.5449999999999998E-2</v>
      </c>
      <c r="AM8" s="9">
        <v>1.25</v>
      </c>
      <c r="AN8" s="20">
        <f t="shared" si="7"/>
        <v>0.16892099999999965</v>
      </c>
      <c r="AO8" s="1" t="s">
        <v>254</v>
      </c>
      <c r="BB8" s="1" t="s">
        <v>101</v>
      </c>
      <c r="BC8" s="46" t="s">
        <v>46</v>
      </c>
      <c r="BD8" s="16" t="s">
        <v>127</v>
      </c>
      <c r="BE8" s="3" t="s">
        <v>51</v>
      </c>
      <c r="BF8" s="1" t="s">
        <v>60</v>
      </c>
      <c r="BG8" s="15">
        <v>-5.1340000000000003</v>
      </c>
      <c r="BH8" s="15">
        <v>0.223</v>
      </c>
      <c r="BI8" s="15">
        <v>-6.1769999999999996</v>
      </c>
      <c r="BJ8" s="15">
        <v>6.5000000000000002E-2</v>
      </c>
      <c r="BK8" s="20">
        <f t="shared" si="8"/>
        <v>1.0429999999999993</v>
      </c>
      <c r="BL8" s="20">
        <f t="shared" si="9"/>
        <v>0.23228000344411914</v>
      </c>
      <c r="BM8" s="20">
        <f t="shared" si="10"/>
        <v>5.3954000000000002E-2</v>
      </c>
      <c r="BN8" s="9">
        <v>1.25</v>
      </c>
      <c r="BO8" s="20">
        <f t="shared" si="11"/>
        <v>4.2849000000000304E-2</v>
      </c>
      <c r="BP8" s="1" t="s">
        <v>262</v>
      </c>
    </row>
    <row r="9" spans="1:68">
      <c r="A9" s="16"/>
      <c r="B9" s="16"/>
      <c r="C9" s="16"/>
      <c r="D9" s="1"/>
      <c r="E9" s="16" t="s">
        <v>130</v>
      </c>
      <c r="F9" s="3" t="s">
        <v>85</v>
      </c>
      <c r="G9" s="16">
        <v>0.86</v>
      </c>
      <c r="J9" s="46" t="s">
        <v>45</v>
      </c>
      <c r="K9" s="46" t="s">
        <v>46</v>
      </c>
      <c r="L9" s="16" t="s">
        <v>134</v>
      </c>
      <c r="M9" s="46" t="s">
        <v>135</v>
      </c>
      <c r="N9" s="46" t="s">
        <v>142</v>
      </c>
      <c r="O9" s="15">
        <v>46.414999999999999</v>
      </c>
      <c r="P9" s="15">
        <v>9.4E-2</v>
      </c>
      <c r="Q9" s="15">
        <v>46.613</v>
      </c>
      <c r="R9" s="15">
        <v>4.1000000000000002E-2</v>
      </c>
      <c r="S9" s="15">
        <f t="shared" si="0"/>
        <v>-0.1980000000000004</v>
      </c>
      <c r="T9" s="15">
        <f t="shared" si="1"/>
        <v>0.10255242561733974</v>
      </c>
      <c r="U9" s="15">
        <f t="shared" si="2"/>
        <v>1.0517E-2</v>
      </c>
      <c r="V9" s="9">
        <v>0.09</v>
      </c>
      <c r="W9" s="20">
        <f t="shared" si="3"/>
        <v>8.2944000000000212E-2</v>
      </c>
      <c r="X9" s="20" t="s">
        <v>234</v>
      </c>
      <c r="AA9" s="1" t="s">
        <v>235</v>
      </c>
      <c r="AB9" s="46" t="s">
        <v>46</v>
      </c>
      <c r="AC9" s="16" t="s">
        <v>128</v>
      </c>
      <c r="AD9" s="3" t="s">
        <v>129</v>
      </c>
      <c r="AE9" s="1" t="s">
        <v>61</v>
      </c>
      <c r="AF9" s="15">
        <v>-5.7709999999999999</v>
      </c>
      <c r="AG9" s="15">
        <v>7.6999999999999999E-2</v>
      </c>
      <c r="AH9" s="15">
        <v>-6.8360000000000003</v>
      </c>
      <c r="AI9" s="15">
        <v>1.9E-2</v>
      </c>
      <c r="AJ9" s="20">
        <f t="shared" si="4"/>
        <v>1.0650000000000004</v>
      </c>
      <c r="AK9" s="20">
        <f t="shared" si="5"/>
        <v>7.9309520235593414E-2</v>
      </c>
      <c r="AL9" s="20">
        <f t="shared" si="6"/>
        <v>6.2900000000000013E-3</v>
      </c>
      <c r="AM9" s="9">
        <v>1.1499999999999999</v>
      </c>
      <c r="AN9" s="20">
        <f t="shared" si="7"/>
        <v>7.2249999999999181E-3</v>
      </c>
      <c r="AO9" s="1" t="s">
        <v>254</v>
      </c>
      <c r="BB9" s="1" t="s">
        <v>101</v>
      </c>
      <c r="BC9" s="46" t="s">
        <v>46</v>
      </c>
      <c r="BD9" s="16" t="s">
        <v>128</v>
      </c>
      <c r="BE9" s="3" t="s">
        <v>129</v>
      </c>
      <c r="BF9" s="1" t="s">
        <v>61</v>
      </c>
      <c r="BG9" s="15">
        <v>-5.8659999999999997</v>
      </c>
      <c r="BH9" s="15">
        <v>6.5000000000000002E-2</v>
      </c>
      <c r="BI9" s="15">
        <v>-6.9390000000000001</v>
      </c>
      <c r="BJ9" s="15">
        <v>2.8000000000000001E-2</v>
      </c>
      <c r="BK9" s="20">
        <f t="shared" si="8"/>
        <v>1.0730000000000004</v>
      </c>
      <c r="BL9" s="20">
        <f t="shared" si="9"/>
        <v>7.0774289116881994E-2</v>
      </c>
      <c r="BM9" s="20">
        <f t="shared" si="10"/>
        <v>5.0090000000000013E-3</v>
      </c>
      <c r="BN9" s="9">
        <v>1.1499999999999999</v>
      </c>
      <c r="BO9" s="20">
        <f t="shared" si="11"/>
        <v>5.9289999999999248E-3</v>
      </c>
      <c r="BP9" s="1" t="s">
        <v>262</v>
      </c>
    </row>
    <row r="10" spans="1:68">
      <c r="A10" s="16"/>
      <c r="B10" s="16"/>
      <c r="C10" s="16"/>
      <c r="D10" s="1"/>
      <c r="E10" s="16" t="s">
        <v>131</v>
      </c>
      <c r="F10" s="3" t="s">
        <v>132</v>
      </c>
      <c r="G10" s="16">
        <v>1.1100000000000001</v>
      </c>
      <c r="J10" s="46" t="s">
        <v>45</v>
      </c>
      <c r="K10" s="46" t="s">
        <v>46</v>
      </c>
      <c r="L10" s="16" t="s">
        <v>136</v>
      </c>
      <c r="M10" s="46" t="s">
        <v>137</v>
      </c>
      <c r="N10" s="46" t="s">
        <v>143</v>
      </c>
      <c r="O10" s="15">
        <v>-7.976</v>
      </c>
      <c r="P10" s="15">
        <v>5.8999999999999997E-2</v>
      </c>
      <c r="Q10" s="15">
        <v>-7.2640000000000002</v>
      </c>
      <c r="R10" s="15">
        <v>0.23</v>
      </c>
      <c r="S10" s="15">
        <f t="shared" si="0"/>
        <v>-0.71199999999999974</v>
      </c>
      <c r="T10" s="15">
        <f t="shared" si="1"/>
        <v>0.23744683615495912</v>
      </c>
      <c r="U10" s="15">
        <f t="shared" si="2"/>
        <v>5.6381000000000001E-2</v>
      </c>
      <c r="V10" s="9">
        <v>0.83</v>
      </c>
      <c r="W10" s="20">
        <f t="shared" si="3"/>
        <v>2.3777639999999995</v>
      </c>
      <c r="X10" s="20" t="s">
        <v>234</v>
      </c>
      <c r="Z10" s="1" t="s">
        <v>260</v>
      </c>
      <c r="AA10" s="1" t="s">
        <v>256</v>
      </c>
      <c r="AB10" s="46" t="s">
        <v>46</v>
      </c>
      <c r="AC10" s="16" t="s">
        <v>130</v>
      </c>
      <c r="AD10" s="3" t="s">
        <v>85</v>
      </c>
      <c r="AE10" s="1" t="s">
        <v>91</v>
      </c>
      <c r="AF10" s="15">
        <v>-6.25</v>
      </c>
      <c r="AG10" s="15">
        <v>0.32100000000000001</v>
      </c>
      <c r="AH10" s="15">
        <v>-6.1029999999999998</v>
      </c>
      <c r="AI10" s="15">
        <v>0.13400000000000001</v>
      </c>
      <c r="AJ10" s="20">
        <f t="shared" si="4"/>
        <v>-0.14700000000000024</v>
      </c>
      <c r="AK10" s="20">
        <f t="shared" si="5"/>
        <v>0.34784623039498358</v>
      </c>
      <c r="AL10" s="20">
        <f t="shared" si="6"/>
        <v>0.12099699999999999</v>
      </c>
      <c r="AM10" s="9">
        <v>0.86</v>
      </c>
      <c r="AN10" s="20">
        <f t="shared" si="7"/>
        <v>1.0140490000000002</v>
      </c>
      <c r="AO10" s="1" t="s">
        <v>257</v>
      </c>
      <c r="BB10" s="1" t="s">
        <v>101</v>
      </c>
      <c r="BC10" s="46" t="s">
        <v>46</v>
      </c>
      <c r="BD10" s="16" t="s">
        <v>130</v>
      </c>
      <c r="BE10" s="3" t="s">
        <v>85</v>
      </c>
      <c r="BF10" s="1" t="s">
        <v>91</v>
      </c>
      <c r="BG10" s="15">
        <v>-6.25</v>
      </c>
      <c r="BH10" s="15">
        <v>0.32100000000000001</v>
      </c>
      <c r="BI10" s="15">
        <v>-6.1029999999999998</v>
      </c>
      <c r="BJ10" s="15">
        <v>0.13400000000000001</v>
      </c>
      <c r="BK10" s="20">
        <f t="shared" si="8"/>
        <v>-0.14700000000000024</v>
      </c>
      <c r="BL10" s="20">
        <f t="shared" si="9"/>
        <v>0.34784623039498358</v>
      </c>
      <c r="BM10" s="20">
        <f t="shared" si="10"/>
        <v>0.12099699999999999</v>
      </c>
      <c r="BN10" s="9">
        <v>0.86</v>
      </c>
      <c r="BO10" s="20">
        <f t="shared" si="11"/>
        <v>1.0140490000000002</v>
      </c>
      <c r="BP10" s="1" t="s">
        <v>262</v>
      </c>
    </row>
    <row r="11" spans="1:68">
      <c r="A11" s="16"/>
      <c r="B11" s="16"/>
      <c r="C11" s="16"/>
      <c r="D11" s="1"/>
      <c r="E11" s="16" t="s">
        <v>133</v>
      </c>
      <c r="F11" s="3" t="s">
        <v>53</v>
      </c>
      <c r="G11" s="16">
        <v>0.55000000000000004</v>
      </c>
      <c r="J11" s="46" t="s">
        <v>45</v>
      </c>
      <c r="K11" s="46" t="s">
        <v>46</v>
      </c>
      <c r="L11" s="25" t="s">
        <v>138</v>
      </c>
      <c r="M11" s="46" t="s">
        <v>139</v>
      </c>
      <c r="N11" s="46" t="s">
        <v>144</v>
      </c>
      <c r="O11" s="15">
        <v>-15.865</v>
      </c>
      <c r="P11" s="15">
        <v>0.19500000000000001</v>
      </c>
      <c r="Q11" s="15">
        <v>-20.622</v>
      </c>
      <c r="R11" s="15">
        <v>0.23899999999999999</v>
      </c>
      <c r="S11" s="15">
        <f t="shared" si="0"/>
        <v>4.7569999999999997</v>
      </c>
      <c r="T11" s="15">
        <f t="shared" si="1"/>
        <v>0.3084574524954779</v>
      </c>
      <c r="U11" s="15">
        <f t="shared" si="2"/>
        <v>9.5146000000000008E-2</v>
      </c>
      <c r="V11" s="9">
        <v>1.07</v>
      </c>
      <c r="W11" s="20">
        <f t="shared" si="3"/>
        <v>13.593968999999996</v>
      </c>
      <c r="X11" s="20" t="s">
        <v>234</v>
      </c>
      <c r="AA11" s="1" t="s">
        <v>235</v>
      </c>
      <c r="AB11" s="46" t="s">
        <v>46</v>
      </c>
      <c r="AC11" s="16" t="s">
        <v>131</v>
      </c>
      <c r="AD11" s="3" t="s">
        <v>132</v>
      </c>
      <c r="AE11" s="1" t="s">
        <v>141</v>
      </c>
      <c r="AF11" s="1">
        <v>46.613999999999997</v>
      </c>
      <c r="AG11" s="1">
        <v>0.17299999999999999</v>
      </c>
      <c r="AH11" s="15">
        <v>46.436999999999998</v>
      </c>
      <c r="AI11" s="15">
        <v>0.04</v>
      </c>
      <c r="AJ11" s="20">
        <f t="shared" si="4"/>
        <v>0.1769999999999996</v>
      </c>
      <c r="AK11" s="20">
        <f t="shared" si="5"/>
        <v>0.1775640729426986</v>
      </c>
      <c r="AL11" s="20">
        <f t="shared" si="6"/>
        <v>3.1528999999999988E-2</v>
      </c>
      <c r="AM11" s="9">
        <v>1.1100000000000001</v>
      </c>
      <c r="AN11" s="20">
        <f t="shared" si="7"/>
        <v>0.87048900000000096</v>
      </c>
      <c r="AO11" s="1" t="s">
        <v>258</v>
      </c>
      <c r="BB11" s="1" t="s">
        <v>101</v>
      </c>
      <c r="BC11" s="46" t="s">
        <v>46</v>
      </c>
      <c r="BD11" s="16" t="s">
        <v>131</v>
      </c>
      <c r="BE11" s="3" t="s">
        <v>132</v>
      </c>
      <c r="BF11" s="1" t="s">
        <v>141</v>
      </c>
      <c r="BG11" s="15">
        <v>46.78</v>
      </c>
      <c r="BH11" s="15">
        <v>0.189</v>
      </c>
      <c r="BI11" s="15">
        <v>46.335999999999999</v>
      </c>
      <c r="BJ11" s="15">
        <v>2.1999999999999999E-2</v>
      </c>
      <c r="BK11" s="20">
        <f t="shared" si="8"/>
        <v>0.44400000000000261</v>
      </c>
      <c r="BL11" s="20">
        <f t="shared" si="9"/>
        <v>0.19027611515899731</v>
      </c>
      <c r="BM11" s="20">
        <f t="shared" si="10"/>
        <v>3.6205000000000008E-2</v>
      </c>
      <c r="BN11" s="9">
        <v>1.1100000000000001</v>
      </c>
      <c r="BO11" s="20">
        <f t="shared" si="11"/>
        <v>0.44355599999999662</v>
      </c>
      <c r="BP11" s="1" t="s">
        <v>262</v>
      </c>
    </row>
    <row r="12" spans="1:68">
      <c r="A12" s="16"/>
      <c r="B12" s="16"/>
      <c r="C12" s="16"/>
      <c r="D12" s="1"/>
      <c r="E12" s="16" t="s">
        <v>134</v>
      </c>
      <c r="F12" s="3" t="s">
        <v>135</v>
      </c>
      <c r="G12" s="16">
        <v>0.09</v>
      </c>
      <c r="J12" s="1"/>
      <c r="K12" s="1"/>
      <c r="L12" s="1"/>
      <c r="M12" s="1"/>
      <c r="N12" s="1"/>
      <c r="O12" s="20"/>
      <c r="P12" s="20"/>
      <c r="Q12" s="20"/>
      <c r="R12" s="20"/>
      <c r="S12" s="20"/>
      <c r="T12" s="20"/>
      <c r="U12" s="18" t="s">
        <v>67</v>
      </c>
      <c r="V12" s="18"/>
      <c r="W12" s="18" t="s">
        <v>67</v>
      </c>
      <c r="X12" s="20"/>
      <c r="AA12" s="1" t="s">
        <v>235</v>
      </c>
      <c r="AB12" s="46" t="s">
        <v>46</v>
      </c>
      <c r="AC12" s="16" t="s">
        <v>133</v>
      </c>
      <c r="AD12" s="3" t="s">
        <v>53</v>
      </c>
      <c r="AE12" s="1" t="s">
        <v>62</v>
      </c>
      <c r="AF12" s="15">
        <v>46.369</v>
      </c>
      <c r="AG12" s="15">
        <v>0.26700000000000002</v>
      </c>
      <c r="AH12" s="15">
        <v>46.024000000000001</v>
      </c>
      <c r="AI12" s="15">
        <v>0.108</v>
      </c>
      <c r="AJ12" s="20">
        <f t="shared" si="4"/>
        <v>0.34499999999999886</v>
      </c>
      <c r="AK12" s="20">
        <f t="shared" si="5"/>
        <v>0.28801562457616775</v>
      </c>
      <c r="AL12" s="20">
        <f t="shared" si="6"/>
        <v>8.2952999999999999E-2</v>
      </c>
      <c r="AM12" s="9">
        <v>0.55000000000000004</v>
      </c>
      <c r="AN12" s="20">
        <f t="shared" si="7"/>
        <v>4.2025000000000486E-2</v>
      </c>
      <c r="AO12" s="1" t="s">
        <v>254</v>
      </c>
      <c r="BB12" s="1" t="s">
        <v>101</v>
      </c>
      <c r="BC12" s="46" t="s">
        <v>46</v>
      </c>
      <c r="BD12" s="16" t="s">
        <v>133</v>
      </c>
      <c r="BE12" s="3" t="s">
        <v>53</v>
      </c>
      <c r="BF12" s="1" t="s">
        <v>62</v>
      </c>
      <c r="BG12" s="15">
        <v>46.156999999999996</v>
      </c>
      <c r="BH12" s="15">
        <v>0.13</v>
      </c>
      <c r="BI12" s="15">
        <v>46.040999999999997</v>
      </c>
      <c r="BJ12" s="15">
        <v>4.1000000000000002E-2</v>
      </c>
      <c r="BK12" s="20">
        <f t="shared" si="8"/>
        <v>0.11599999999999966</v>
      </c>
      <c r="BL12" s="20">
        <f t="shared" si="9"/>
        <v>0.13631214179228496</v>
      </c>
      <c r="BM12" s="20">
        <f t="shared" si="10"/>
        <v>1.8581E-2</v>
      </c>
      <c r="BN12" s="9">
        <v>0.55000000000000004</v>
      </c>
      <c r="BO12" s="20">
        <f t="shared" si="11"/>
        <v>0.18835600000000033</v>
      </c>
      <c r="BP12" s="1" t="s">
        <v>262</v>
      </c>
    </row>
    <row r="13" spans="1:68">
      <c r="A13" s="16"/>
      <c r="B13" s="16"/>
      <c r="C13" s="16"/>
      <c r="D13" s="1"/>
      <c r="E13" s="16" t="s">
        <v>136</v>
      </c>
      <c r="F13" s="3" t="s">
        <v>137</v>
      </c>
      <c r="G13" s="16">
        <v>0.83</v>
      </c>
      <c r="J13" s="1"/>
      <c r="K13" s="1"/>
      <c r="L13" s="1"/>
      <c r="M13" s="1"/>
      <c r="N13" s="1"/>
      <c r="O13" s="20"/>
      <c r="P13" s="20"/>
      <c r="Q13" s="20"/>
      <c r="R13" s="20"/>
      <c r="S13" s="20"/>
      <c r="T13" s="20"/>
      <c r="U13" s="20">
        <f>SUM(U3:U11)</f>
        <v>0.57389000000000001</v>
      </c>
      <c r="V13" s="20"/>
      <c r="W13" s="20">
        <f>SUM(W3:W11)</f>
        <v>22.007784999999988</v>
      </c>
      <c r="X13" s="20"/>
      <c r="AA13" s="1" t="s">
        <v>235</v>
      </c>
      <c r="AB13" s="46" t="s">
        <v>46</v>
      </c>
      <c r="AC13" s="16" t="s">
        <v>134</v>
      </c>
      <c r="AD13" s="3" t="s">
        <v>135</v>
      </c>
      <c r="AE13" s="1" t="s">
        <v>142</v>
      </c>
      <c r="AF13" s="15">
        <v>46.584000000000003</v>
      </c>
      <c r="AG13" s="15">
        <v>4.8000000000000001E-2</v>
      </c>
      <c r="AH13" s="15">
        <v>46.661000000000001</v>
      </c>
      <c r="AI13" s="15">
        <v>5.7000000000000002E-2</v>
      </c>
      <c r="AJ13" s="20">
        <f t="shared" si="4"/>
        <v>-7.6999999999998181E-2</v>
      </c>
      <c r="AK13" s="20">
        <f t="shared" si="5"/>
        <v>7.4518454090245323E-2</v>
      </c>
      <c r="AL13" s="20">
        <f t="shared" si="6"/>
        <v>5.5529999999999998E-3</v>
      </c>
      <c r="AM13" s="9">
        <v>0.09</v>
      </c>
      <c r="AN13" s="20">
        <f t="shared" si="7"/>
        <v>2.788899999999939E-2</v>
      </c>
      <c r="AO13" s="1" t="s">
        <v>254</v>
      </c>
      <c r="BB13" s="1" t="s">
        <v>101</v>
      </c>
      <c r="BC13" s="46" t="s">
        <v>46</v>
      </c>
      <c r="BD13" s="16" t="s">
        <v>134</v>
      </c>
      <c r="BE13" s="3" t="s">
        <v>135</v>
      </c>
      <c r="BF13" s="1" t="s">
        <v>142</v>
      </c>
      <c r="BG13" s="15">
        <v>46.546999999999997</v>
      </c>
      <c r="BH13" s="15">
        <v>7.0000000000000007E-2</v>
      </c>
      <c r="BI13" s="15">
        <v>46.643999999999998</v>
      </c>
      <c r="BJ13" s="15">
        <v>2.7E-2</v>
      </c>
      <c r="BK13" s="20">
        <f t="shared" si="8"/>
        <v>-9.7000000000001307E-2</v>
      </c>
      <c r="BL13" s="20">
        <f t="shared" si="9"/>
        <v>7.5026661927610774E-2</v>
      </c>
      <c r="BM13" s="20">
        <f t="shared" si="10"/>
        <v>5.6290000000000003E-3</v>
      </c>
      <c r="BN13" s="9">
        <v>0.09</v>
      </c>
      <c r="BO13" s="20">
        <f t="shared" si="11"/>
        <v>3.4969000000000486E-2</v>
      </c>
      <c r="BP13" s="1" t="s">
        <v>262</v>
      </c>
    </row>
    <row r="14" spans="1:68">
      <c r="A14" s="16"/>
      <c r="B14" s="5" t="s">
        <v>19</v>
      </c>
      <c r="C14" s="16"/>
      <c r="D14" s="1"/>
      <c r="E14" s="25" t="s">
        <v>138</v>
      </c>
      <c r="F14" s="3" t="s">
        <v>139</v>
      </c>
      <c r="G14" s="16">
        <v>1.07</v>
      </c>
      <c r="J14" s="1"/>
      <c r="K14" s="1"/>
      <c r="L14" s="1"/>
      <c r="M14" s="1"/>
      <c r="N14" s="1"/>
      <c r="O14" s="20"/>
      <c r="P14" s="20"/>
      <c r="Q14" s="20"/>
      <c r="R14" s="20"/>
      <c r="S14" s="20"/>
      <c r="T14" s="20"/>
      <c r="U14" s="20"/>
      <c r="V14" s="20"/>
      <c r="W14" s="20"/>
      <c r="X14" s="20"/>
      <c r="AA14" s="1" t="s">
        <v>235</v>
      </c>
      <c r="AB14" s="46" t="s">
        <v>46</v>
      </c>
      <c r="AC14" s="16" t="s">
        <v>136</v>
      </c>
      <c r="AD14" s="3" t="s">
        <v>137</v>
      </c>
      <c r="AE14" s="1" t="s">
        <v>143</v>
      </c>
      <c r="AF14" s="15">
        <v>-8.8450000000000006</v>
      </c>
      <c r="AG14" s="15">
        <v>0.106</v>
      </c>
      <c r="AH14" s="15">
        <v>-7.7030000000000003</v>
      </c>
      <c r="AI14" s="15">
        <v>0.193</v>
      </c>
      <c r="AJ14" s="20">
        <f t="shared" si="4"/>
        <v>-1.1420000000000003</v>
      </c>
      <c r="AK14" s="20">
        <f t="shared" si="5"/>
        <v>0.22019309707617993</v>
      </c>
      <c r="AL14" s="20">
        <f t="shared" si="6"/>
        <v>4.8485E-2</v>
      </c>
      <c r="AM14" s="9">
        <v>0.83</v>
      </c>
      <c r="AN14" s="20">
        <f t="shared" si="7"/>
        <v>3.8887840000000016</v>
      </c>
      <c r="AO14" s="1" t="s">
        <v>261</v>
      </c>
      <c r="BB14" s="1" t="s">
        <v>101</v>
      </c>
      <c r="BC14" s="46" t="s">
        <v>46</v>
      </c>
      <c r="BD14" s="16" t="s">
        <v>136</v>
      </c>
      <c r="BE14" s="3" t="s">
        <v>137</v>
      </c>
      <c r="BF14" s="1" t="s">
        <v>143</v>
      </c>
      <c r="BG14" s="15">
        <v>-8.5679999999999996</v>
      </c>
      <c r="BH14" s="15">
        <v>0.121</v>
      </c>
      <c r="BI14" s="15">
        <v>-8.1649999999999991</v>
      </c>
      <c r="BJ14" s="15">
        <v>6.6000000000000003E-2</v>
      </c>
      <c r="BK14" s="20">
        <f t="shared" si="8"/>
        <v>-0.40300000000000047</v>
      </c>
      <c r="BL14" s="20">
        <f t="shared" si="9"/>
        <v>0.13782960494755833</v>
      </c>
      <c r="BM14" s="20">
        <f t="shared" si="10"/>
        <v>1.8996999999999997E-2</v>
      </c>
      <c r="BN14" s="9">
        <v>0.83</v>
      </c>
      <c r="BO14" s="20">
        <f t="shared" si="11"/>
        <v>1.5202890000000013</v>
      </c>
      <c r="BP14" s="1" t="s">
        <v>262</v>
      </c>
    </row>
    <row r="15" spans="1:68">
      <c r="A15" s="1" t="s">
        <v>21</v>
      </c>
      <c r="B15" s="7"/>
      <c r="C15" s="1"/>
      <c r="D15" s="1"/>
      <c r="E15" s="1"/>
      <c r="F15" s="1"/>
      <c r="G15" s="1"/>
      <c r="J15" s="1"/>
      <c r="K15" s="1"/>
      <c r="L15" s="1"/>
      <c r="M15" s="1"/>
      <c r="N15" s="1"/>
      <c r="O15" s="20"/>
      <c r="P15" s="20"/>
      <c r="Q15" s="20"/>
      <c r="R15" s="20"/>
      <c r="S15" s="20"/>
      <c r="T15" s="20"/>
      <c r="U15" s="20"/>
      <c r="V15" s="19" t="s">
        <v>68</v>
      </c>
      <c r="W15" s="20">
        <f>SQRT(W13/9)</f>
        <v>1.5637485234028019</v>
      </c>
      <c r="X15" s="20"/>
      <c r="AA15" s="1" t="s">
        <v>101</v>
      </c>
      <c r="AB15" s="46" t="s">
        <v>46</v>
      </c>
      <c r="AC15" s="25" t="s">
        <v>138</v>
      </c>
      <c r="AD15" s="3" t="s">
        <v>139</v>
      </c>
      <c r="AE15" s="1" t="s">
        <v>144</v>
      </c>
      <c r="AF15" s="1">
        <v>-20.12</v>
      </c>
      <c r="AG15" s="1">
        <v>0.253</v>
      </c>
      <c r="AH15" s="15">
        <v>-20.663</v>
      </c>
      <c r="AI15" s="15">
        <v>0.18</v>
      </c>
      <c r="AJ15" s="20">
        <f t="shared" si="4"/>
        <v>0.54299999999999926</v>
      </c>
      <c r="AK15" s="20">
        <f t="shared" si="5"/>
        <v>0.31049798711102783</v>
      </c>
      <c r="AL15" s="20">
        <f t="shared" si="6"/>
        <v>9.6409000000000009E-2</v>
      </c>
      <c r="AM15" s="9">
        <v>1.07</v>
      </c>
      <c r="AN15" s="20">
        <f t="shared" si="7"/>
        <v>0.27772900000000084</v>
      </c>
      <c r="AO15" s="1" t="s">
        <v>259</v>
      </c>
      <c r="BB15" s="1" t="s">
        <v>101</v>
      </c>
      <c r="BC15" s="46" t="s">
        <v>46</v>
      </c>
      <c r="BD15" s="25" t="s">
        <v>138</v>
      </c>
      <c r="BE15" s="3" t="s">
        <v>139</v>
      </c>
      <c r="BF15" s="1" t="s">
        <v>144</v>
      </c>
      <c r="BG15" s="1">
        <v>-20.12</v>
      </c>
      <c r="BH15" s="1">
        <v>0.253</v>
      </c>
      <c r="BI15" s="15">
        <v>-20.663</v>
      </c>
      <c r="BJ15" s="15">
        <v>0.18</v>
      </c>
      <c r="BK15" s="20">
        <f t="shared" si="8"/>
        <v>0.54299999999999926</v>
      </c>
      <c r="BL15" s="20">
        <f t="shared" si="9"/>
        <v>0.31049798711102783</v>
      </c>
      <c r="BM15" s="20">
        <f t="shared" si="10"/>
        <v>9.6409000000000009E-2</v>
      </c>
      <c r="BN15" s="9">
        <v>1.07</v>
      </c>
      <c r="BO15" s="20">
        <f t="shared" si="11"/>
        <v>0.27772900000000084</v>
      </c>
      <c r="BP15" s="1" t="s">
        <v>259</v>
      </c>
    </row>
    <row r="16" spans="1:68">
      <c r="J16" s="1"/>
      <c r="K16" s="1"/>
      <c r="L16" s="1"/>
      <c r="M16" s="1"/>
      <c r="N16" s="1"/>
      <c r="O16" s="20"/>
      <c r="P16" s="20"/>
      <c r="Q16" s="20"/>
      <c r="R16" s="20"/>
      <c r="S16" s="20"/>
      <c r="T16" s="20"/>
      <c r="U16" s="20"/>
      <c r="V16" s="19" t="s">
        <v>40</v>
      </c>
      <c r="W16" s="20">
        <f>SQRT(U13/9)</f>
        <v>0.25251842617036002</v>
      </c>
      <c r="X16" s="20"/>
      <c r="AA16" s="1"/>
      <c r="AB16" s="1"/>
      <c r="AC16" s="1"/>
      <c r="AD16" s="1"/>
      <c r="AE16" s="1"/>
      <c r="AF16" s="1"/>
      <c r="AG16" s="1"/>
      <c r="AH16" s="1"/>
      <c r="AI16" s="1"/>
      <c r="AJ16" s="1"/>
      <c r="AK16" s="20"/>
      <c r="AL16" s="18" t="s">
        <v>67</v>
      </c>
      <c r="AM16" s="18"/>
      <c r="AN16" s="18" t="s">
        <v>67</v>
      </c>
      <c r="AO16" s="1"/>
      <c r="BM16" s="18" t="s">
        <v>67</v>
      </c>
      <c r="BN16" s="18"/>
      <c r="BO16" s="18" t="s">
        <v>67</v>
      </c>
    </row>
    <row r="17" spans="10:68">
      <c r="J17" s="1"/>
      <c r="K17" s="1"/>
      <c r="L17" s="1"/>
      <c r="M17" s="1"/>
      <c r="N17" s="1"/>
      <c r="O17" s="20"/>
      <c r="P17" s="20"/>
      <c r="Q17" s="20"/>
      <c r="R17" s="20"/>
      <c r="S17" s="20"/>
      <c r="T17" s="20"/>
      <c r="U17" s="20"/>
      <c r="V17" s="20"/>
      <c r="W17" s="20"/>
      <c r="X17" s="20"/>
      <c r="AA17" s="1"/>
      <c r="AB17" s="1"/>
      <c r="AC17" s="1"/>
      <c r="AD17" s="1"/>
      <c r="AE17" s="1"/>
      <c r="AF17" s="1"/>
      <c r="AG17" s="1"/>
      <c r="AH17" s="1"/>
      <c r="AI17" s="1"/>
      <c r="AJ17" s="1"/>
      <c r="AK17" s="20"/>
      <c r="AL17" s="20">
        <f>SUM(AL3:AL15)</f>
        <v>1.015433</v>
      </c>
      <c r="AM17" s="20"/>
      <c r="AN17" s="20">
        <f>SUM(AN3:AN15)</f>
        <v>12.205980000000018</v>
      </c>
      <c r="AO17" s="1"/>
      <c r="BM17" s="20">
        <f>SUM(BM3:BM15)</f>
        <v>0.87418400000000007</v>
      </c>
      <c r="BN17" s="20"/>
      <c r="BO17" s="20">
        <f>SUM(BO3:BO15)</f>
        <v>9.4044600000000216</v>
      </c>
    </row>
    <row r="18" spans="10:68" ht="17">
      <c r="J18" s="10" t="s">
        <v>69</v>
      </c>
      <c r="K18" s="11"/>
      <c r="L18" s="11"/>
      <c r="M18" s="11"/>
      <c r="N18" s="11"/>
      <c r="O18" s="11"/>
      <c r="P18" s="11"/>
      <c r="Q18" s="11"/>
      <c r="R18" s="11"/>
      <c r="S18" s="11"/>
      <c r="T18" s="11"/>
      <c r="U18" s="11"/>
      <c r="V18" s="11"/>
      <c r="W18" s="11"/>
      <c r="X18" s="11"/>
      <c r="AA18" s="1"/>
      <c r="AB18" s="1"/>
      <c r="AC18" s="1"/>
      <c r="AD18" s="1"/>
      <c r="AE18" s="1"/>
      <c r="AF18" s="1"/>
      <c r="AG18" s="1"/>
      <c r="AH18" s="1"/>
      <c r="AI18" s="1"/>
      <c r="AJ18" s="1"/>
      <c r="AK18" s="20"/>
      <c r="AL18" s="20"/>
      <c r="AM18" s="20"/>
      <c r="AN18" s="20"/>
      <c r="AO18" s="1"/>
      <c r="BM18" s="20"/>
      <c r="BN18" s="20"/>
      <c r="BO18" s="20"/>
    </row>
    <row r="19" spans="10:68">
      <c r="J19" s="12" t="s">
        <v>30</v>
      </c>
      <c r="K19" s="12" t="s">
        <v>31</v>
      </c>
      <c r="L19" s="13" t="s">
        <v>32</v>
      </c>
      <c r="M19" s="12" t="s">
        <v>33</v>
      </c>
      <c r="N19" s="12" t="s">
        <v>34</v>
      </c>
      <c r="O19" s="12" t="s">
        <v>35</v>
      </c>
      <c r="P19" s="12" t="s">
        <v>36</v>
      </c>
      <c r="Q19" s="12" t="s">
        <v>37</v>
      </c>
      <c r="R19" s="12" t="s">
        <v>38</v>
      </c>
      <c r="S19" s="12" t="s">
        <v>39</v>
      </c>
      <c r="T19" s="14" t="s">
        <v>40</v>
      </c>
      <c r="U19" s="12" t="s">
        <v>41</v>
      </c>
      <c r="V19" s="12" t="s">
        <v>42</v>
      </c>
      <c r="W19" s="12" t="s">
        <v>43</v>
      </c>
      <c r="X19" s="12" t="s">
        <v>44</v>
      </c>
      <c r="AA19" s="1"/>
      <c r="AB19" s="1"/>
      <c r="AC19" s="1"/>
      <c r="AD19" s="1"/>
      <c r="AE19" s="1"/>
      <c r="AF19" s="1"/>
      <c r="AG19" s="1"/>
      <c r="AH19" s="1"/>
      <c r="AI19" s="1"/>
      <c r="AJ19" s="1"/>
      <c r="AK19" s="20"/>
      <c r="AL19" s="20"/>
      <c r="AM19" s="19" t="s">
        <v>68</v>
      </c>
      <c r="AN19" s="20">
        <f>SQRT(AN17/13)</f>
        <v>0.96897963779510854</v>
      </c>
      <c r="AO19" s="1"/>
      <c r="BM19" s="20"/>
      <c r="BN19" s="19" t="s">
        <v>68</v>
      </c>
      <c r="BO19" s="20">
        <f>SQRT(BO17/13)</f>
        <v>0.85054100430255664</v>
      </c>
    </row>
    <row r="20" spans="10:68">
      <c r="J20" s="46" t="s">
        <v>45</v>
      </c>
      <c r="K20" s="46" t="s">
        <v>70</v>
      </c>
      <c r="L20" s="16" t="s">
        <v>4</v>
      </c>
      <c r="M20" s="46" t="s">
        <v>245</v>
      </c>
      <c r="N20" s="46" t="s">
        <v>77</v>
      </c>
      <c r="O20" s="15">
        <v>46.284999999999997</v>
      </c>
      <c r="P20" s="15">
        <v>0.13100000000000001</v>
      </c>
      <c r="Q20" s="15">
        <v>46.186</v>
      </c>
      <c r="R20" s="15">
        <v>8.2000000000000003E-2</v>
      </c>
      <c r="S20" s="15">
        <f>(O20-Q20)</f>
        <v>9.8999999999996646E-2</v>
      </c>
      <c r="T20" s="15">
        <f>SQRT((P20)^2 + (R20)^2)</f>
        <v>0.15454772725601629</v>
      </c>
      <c r="U20" s="15">
        <f>T20^2</f>
        <v>2.3885E-2</v>
      </c>
      <c r="V20" s="16">
        <v>-0.22</v>
      </c>
      <c r="W20" s="20">
        <f>(S20-V20)^2</f>
        <v>0.10176099999999784</v>
      </c>
      <c r="X20" s="20" t="s">
        <v>234</v>
      </c>
      <c r="AA20" s="1"/>
      <c r="AB20" s="1"/>
      <c r="AC20" s="1"/>
      <c r="AD20" s="1"/>
      <c r="AE20" s="1"/>
      <c r="AF20" s="1"/>
      <c r="AG20" s="1"/>
      <c r="AH20" s="1"/>
      <c r="AI20" s="1"/>
      <c r="AJ20" s="1"/>
      <c r="AK20" s="20"/>
      <c r="AL20" s="20"/>
      <c r="AM20" s="19" t="s">
        <v>40</v>
      </c>
      <c r="AN20" s="20">
        <f>SQRT(AL17/13)</f>
        <v>0.27948207593552538</v>
      </c>
      <c r="AO20" s="1"/>
      <c r="BM20" s="20"/>
      <c r="BN20" s="19" t="s">
        <v>40</v>
      </c>
      <c r="BO20" s="20">
        <f>SQRT(BM17/13)</f>
        <v>0.25931626072601593</v>
      </c>
    </row>
    <row r="21" spans="10:68">
      <c r="J21" s="46" t="s">
        <v>45</v>
      </c>
      <c r="K21" s="46" t="s">
        <v>70</v>
      </c>
      <c r="L21" s="16" t="s">
        <v>119</v>
      </c>
      <c r="M21" s="46" t="s">
        <v>246</v>
      </c>
      <c r="N21" s="46" t="s">
        <v>247</v>
      </c>
      <c r="O21" s="15">
        <v>68.379000000000005</v>
      </c>
      <c r="P21" s="15">
        <v>0.13700000000000001</v>
      </c>
      <c r="Q21" s="15">
        <v>68.165000000000006</v>
      </c>
      <c r="R21" s="15">
        <v>0.114</v>
      </c>
      <c r="S21" s="15">
        <f t="shared" ref="S21:S22" si="12">(O21-Q21)</f>
        <v>0.21399999999999864</v>
      </c>
      <c r="T21" s="15">
        <f t="shared" ref="T21:T22" si="13">SQRT((P21)^2 + (R21)^2)</f>
        <v>0.17822738285684386</v>
      </c>
      <c r="U21" s="15">
        <f t="shared" ref="U21:U22" si="14">T21^2</f>
        <v>3.1765000000000002E-2</v>
      </c>
      <c r="V21" s="16">
        <v>0.2</v>
      </c>
      <c r="W21" s="20">
        <f t="shared" ref="W21:W22" si="15">(S21-V21)^2</f>
        <v>1.9599999999996148E-4</v>
      </c>
      <c r="X21" s="20" t="s">
        <v>234</v>
      </c>
      <c r="AA21" s="1"/>
      <c r="AB21" s="1"/>
      <c r="AC21" s="1"/>
      <c r="AD21" s="1"/>
      <c r="AE21" s="1"/>
      <c r="AF21" s="1"/>
      <c r="AG21" s="1"/>
      <c r="AH21" s="1"/>
      <c r="AI21" s="1"/>
      <c r="AJ21" s="1"/>
      <c r="AK21" s="20"/>
      <c r="AL21" s="20"/>
      <c r="AM21" s="20"/>
      <c r="AN21" s="20"/>
      <c r="AO21" s="1"/>
    </row>
    <row r="22" spans="10:68">
      <c r="J22" s="46" t="s">
        <v>45</v>
      </c>
      <c r="K22" s="46" t="s">
        <v>70</v>
      </c>
      <c r="L22" s="25" t="s">
        <v>120</v>
      </c>
      <c r="M22" s="46" t="s">
        <v>248</v>
      </c>
      <c r="N22" s="46" t="s">
        <v>249</v>
      </c>
      <c r="O22" s="15">
        <v>-23.271000000000001</v>
      </c>
      <c r="P22" s="15">
        <v>0.35199999999999998</v>
      </c>
      <c r="Q22" s="20">
        <v>-24.797000000000001</v>
      </c>
      <c r="R22" s="20">
        <v>0.122</v>
      </c>
      <c r="S22" s="15">
        <f t="shared" si="12"/>
        <v>1.5259999999999998</v>
      </c>
      <c r="T22" s="15">
        <f t="shared" si="13"/>
        <v>0.37254261501202784</v>
      </c>
      <c r="U22" s="15">
        <f t="shared" si="14"/>
        <v>0.13878799999999999</v>
      </c>
      <c r="V22" s="16">
        <v>-0.87</v>
      </c>
      <c r="W22" s="20">
        <f t="shared" si="15"/>
        <v>5.7408159999999997</v>
      </c>
      <c r="X22" s="20" t="s">
        <v>234</v>
      </c>
      <c r="AA22" s="1"/>
      <c r="AB22" s="1"/>
      <c r="AC22" s="1"/>
      <c r="AD22" s="1"/>
      <c r="AE22" s="1"/>
      <c r="AF22" s="1"/>
      <c r="AG22" s="1"/>
      <c r="AH22" s="1"/>
      <c r="AI22" s="1"/>
      <c r="AJ22" s="1"/>
      <c r="AK22" s="20"/>
      <c r="AL22" s="20"/>
      <c r="AM22" s="20"/>
      <c r="AN22" s="20"/>
      <c r="AO22" s="1"/>
    </row>
    <row r="23" spans="10:68" ht="17">
      <c r="J23" s="46"/>
      <c r="K23" s="46"/>
      <c r="L23" s="1"/>
      <c r="M23" s="46"/>
      <c r="N23" s="46"/>
      <c r="O23" s="15"/>
      <c r="P23" s="15"/>
      <c r="Q23" s="20"/>
      <c r="R23" s="20"/>
      <c r="S23" s="20"/>
      <c r="T23" s="20"/>
      <c r="U23" s="18" t="s">
        <v>67</v>
      </c>
      <c r="V23" s="18"/>
      <c r="W23" s="18" t="s">
        <v>67</v>
      </c>
      <c r="X23" s="20"/>
      <c r="AA23" s="10" t="s">
        <v>102</v>
      </c>
      <c r="AB23" s="1"/>
      <c r="AC23" s="1"/>
      <c r="AD23" s="1"/>
      <c r="AE23" s="1"/>
      <c r="AF23" s="1"/>
      <c r="AG23" s="1"/>
      <c r="AH23" s="1"/>
      <c r="AI23" s="1"/>
      <c r="AJ23" s="1"/>
      <c r="AK23" s="20"/>
      <c r="AL23" s="20"/>
      <c r="AM23" s="20"/>
      <c r="AN23" s="20"/>
      <c r="AO23" s="1"/>
      <c r="BB23" s="10" t="s">
        <v>112</v>
      </c>
    </row>
    <row r="24" spans="10:68">
      <c r="J24" s="1"/>
      <c r="K24" s="1"/>
      <c r="L24" s="1"/>
      <c r="M24" s="1"/>
      <c r="N24" s="1"/>
      <c r="O24" s="20"/>
      <c r="P24" s="20"/>
      <c r="Q24" s="20"/>
      <c r="R24" s="20"/>
      <c r="S24" s="20"/>
      <c r="T24" s="20"/>
      <c r="U24" s="20">
        <f>SUM(U20:U22)</f>
        <v>0.194438</v>
      </c>
      <c r="V24" s="20"/>
      <c r="W24" s="20">
        <f>SUM(W20:W22)</f>
        <v>5.8427729999999976</v>
      </c>
      <c r="X24" s="20"/>
      <c r="AA24" s="12" t="s">
        <v>30</v>
      </c>
      <c r="AB24" s="12" t="s">
        <v>31</v>
      </c>
      <c r="AC24" s="13" t="s">
        <v>32</v>
      </c>
      <c r="AD24" s="12" t="s">
        <v>33</v>
      </c>
      <c r="AE24" s="12" t="s">
        <v>34</v>
      </c>
      <c r="AF24" s="12" t="s">
        <v>35</v>
      </c>
      <c r="AG24" s="12" t="s">
        <v>36</v>
      </c>
      <c r="AH24" s="12" t="s">
        <v>37</v>
      </c>
      <c r="AI24" s="12" t="s">
        <v>38</v>
      </c>
      <c r="AJ24" s="12" t="s">
        <v>39</v>
      </c>
      <c r="AK24" s="14" t="s">
        <v>40</v>
      </c>
      <c r="AL24" s="12" t="s">
        <v>41</v>
      </c>
      <c r="AM24" s="12" t="s">
        <v>42</v>
      </c>
      <c r="AN24" s="12" t="s">
        <v>43</v>
      </c>
      <c r="AO24" s="12" t="s">
        <v>44</v>
      </c>
      <c r="BB24" s="12" t="s">
        <v>30</v>
      </c>
      <c r="BC24" s="12" t="s">
        <v>31</v>
      </c>
      <c r="BD24" s="13" t="s">
        <v>32</v>
      </c>
      <c r="BE24" s="12" t="s">
        <v>33</v>
      </c>
      <c r="BF24" s="12" t="s">
        <v>34</v>
      </c>
      <c r="BG24" s="12" t="s">
        <v>35</v>
      </c>
      <c r="BH24" s="12" t="s">
        <v>36</v>
      </c>
      <c r="BI24" s="12" t="s">
        <v>37</v>
      </c>
      <c r="BJ24" s="12" t="s">
        <v>38</v>
      </c>
      <c r="BK24" s="12" t="s">
        <v>39</v>
      </c>
      <c r="BL24" s="14" t="s">
        <v>40</v>
      </c>
      <c r="BM24" s="12" t="s">
        <v>41</v>
      </c>
      <c r="BN24" s="12" t="s">
        <v>42</v>
      </c>
      <c r="BO24" s="12" t="s">
        <v>43</v>
      </c>
      <c r="BP24" s="12" t="s">
        <v>44</v>
      </c>
    </row>
    <row r="25" spans="10:68">
      <c r="J25" s="1"/>
      <c r="K25" s="1"/>
      <c r="L25" s="1"/>
      <c r="M25" s="1"/>
      <c r="N25" s="1"/>
      <c r="O25" s="20"/>
      <c r="P25" s="20"/>
      <c r="Q25" s="20"/>
      <c r="R25" s="20"/>
      <c r="S25" s="20"/>
      <c r="T25" s="20"/>
      <c r="U25" s="20"/>
      <c r="V25" s="20"/>
      <c r="W25" s="20"/>
      <c r="X25" s="20"/>
      <c r="AA25" s="1" t="s">
        <v>82</v>
      </c>
      <c r="AB25" s="46" t="s">
        <v>70</v>
      </c>
      <c r="AC25" s="16" t="s">
        <v>4</v>
      </c>
      <c r="AD25" s="16" t="s">
        <v>245</v>
      </c>
      <c r="AE25" s="1" t="s">
        <v>77</v>
      </c>
      <c r="AF25" s="15">
        <v>46.137999999999998</v>
      </c>
      <c r="AG25" s="15">
        <v>5.0999999999999997E-2</v>
      </c>
      <c r="AH25" s="15">
        <v>46.04</v>
      </c>
      <c r="AI25" s="15">
        <v>2.7E-2</v>
      </c>
      <c r="AJ25" s="15">
        <f>(AF25-AH25)</f>
        <v>9.7999999999998977E-2</v>
      </c>
      <c r="AK25" s="15">
        <f>SQRT((AG25)^2 + (AI25)^2)</f>
        <v>5.7706152185014029E-2</v>
      </c>
      <c r="AL25" s="15">
        <f>AK25^2</f>
        <v>3.3299999999999992E-3</v>
      </c>
      <c r="AM25" s="16">
        <v>-0.22</v>
      </c>
      <c r="AN25" s="20">
        <f>(AJ25-AM25)^2</f>
        <v>0.10112399999999933</v>
      </c>
      <c r="AO25" s="1" t="s">
        <v>254</v>
      </c>
      <c r="BB25" s="1" t="s">
        <v>101</v>
      </c>
      <c r="BC25" s="46" t="s">
        <v>70</v>
      </c>
      <c r="BD25" s="16" t="s">
        <v>4</v>
      </c>
      <c r="BE25" s="16" t="s">
        <v>245</v>
      </c>
      <c r="BF25" s="1" t="s">
        <v>77</v>
      </c>
      <c r="BG25" s="15">
        <v>46.182000000000002</v>
      </c>
      <c r="BH25" s="15">
        <v>0.13100000000000001</v>
      </c>
      <c r="BI25" s="15">
        <v>46.055</v>
      </c>
      <c r="BJ25" s="15">
        <v>1.7999999999999999E-2</v>
      </c>
      <c r="BK25" s="15">
        <v>0.127</v>
      </c>
      <c r="BL25" s="15">
        <v>0.131837021</v>
      </c>
      <c r="BM25" s="15">
        <v>1.7381000000000001E-2</v>
      </c>
      <c r="BN25" s="16">
        <v>-0.22</v>
      </c>
      <c r="BO25" s="20">
        <f>(BK25-BN25)^2</f>
        <v>0.12040899999999999</v>
      </c>
      <c r="BP25" s="1" t="s">
        <v>262</v>
      </c>
    </row>
    <row r="26" spans="10:68">
      <c r="J26" s="1"/>
      <c r="K26" s="1"/>
      <c r="L26" s="1"/>
      <c r="M26" s="1"/>
      <c r="N26" s="1"/>
      <c r="O26" s="20"/>
      <c r="P26" s="20"/>
      <c r="Q26" s="20"/>
      <c r="R26" s="20"/>
      <c r="S26" s="20"/>
      <c r="T26" s="20"/>
      <c r="U26" s="20"/>
      <c r="V26" s="19" t="s">
        <v>68</v>
      </c>
      <c r="W26" s="20">
        <f>SQRT(W24/3)</f>
        <v>1.3955611774479824</v>
      </c>
      <c r="X26" s="20"/>
      <c r="AA26" s="1" t="s">
        <v>82</v>
      </c>
      <c r="AB26" s="46" t="s">
        <v>70</v>
      </c>
      <c r="AC26" s="16" t="s">
        <v>119</v>
      </c>
      <c r="AD26" s="16" t="s">
        <v>246</v>
      </c>
      <c r="AE26" s="1" t="s">
        <v>247</v>
      </c>
      <c r="AF26" s="15">
        <v>68.563000000000002</v>
      </c>
      <c r="AG26" s="15">
        <v>0.11</v>
      </c>
      <c r="AH26" s="15">
        <v>68.096000000000004</v>
      </c>
      <c r="AI26" s="15">
        <v>6.3E-2</v>
      </c>
      <c r="AJ26" s="15">
        <f t="shared" ref="AJ26:AJ28" si="16">(AF26-AH26)</f>
        <v>0.46699999999999875</v>
      </c>
      <c r="AK26" s="15">
        <f t="shared" ref="AK26:AK28" si="17">SQRT((AG26)^2 + (AI26)^2)</f>
        <v>0.126763559432512</v>
      </c>
      <c r="AL26" s="15">
        <f t="shared" ref="AL26:AL28" si="18">AK26^2</f>
        <v>1.6069E-2</v>
      </c>
      <c r="AM26" s="16">
        <v>0.2</v>
      </c>
      <c r="AN26" s="20">
        <f t="shared" ref="AN26:AN28" si="19">(AJ26-AM26)^2</f>
        <v>7.1288999999999325E-2</v>
      </c>
      <c r="AO26" s="1" t="s">
        <v>254</v>
      </c>
      <c r="BB26" s="1" t="s">
        <v>101</v>
      </c>
      <c r="BC26" s="46" t="s">
        <v>70</v>
      </c>
      <c r="BD26" s="16" t="s">
        <v>119</v>
      </c>
      <c r="BE26" s="16" t="s">
        <v>246</v>
      </c>
      <c r="BF26" s="1" t="s">
        <v>247</v>
      </c>
      <c r="BG26" s="15">
        <v>68.605000000000004</v>
      </c>
      <c r="BH26" s="15">
        <v>3.5000000000000003E-2</v>
      </c>
      <c r="BI26" s="15">
        <v>68.305000000000007</v>
      </c>
      <c r="BJ26" s="15">
        <v>4.7E-2</v>
      </c>
      <c r="BK26" s="15">
        <v>0.3</v>
      </c>
      <c r="BL26" s="15">
        <v>5.8523499999999999E-2</v>
      </c>
      <c r="BM26" s="15">
        <v>3.4250000000000001E-3</v>
      </c>
      <c r="BN26" s="16">
        <v>0.2</v>
      </c>
      <c r="BO26" s="20">
        <f t="shared" ref="BO26:BO28" si="20">(BK26-BN26)^2</f>
        <v>9.999999999999995E-3</v>
      </c>
      <c r="BP26" s="1" t="s">
        <v>262</v>
      </c>
    </row>
    <row r="27" spans="10:68">
      <c r="J27" s="1"/>
      <c r="K27" s="1"/>
      <c r="L27" s="1"/>
      <c r="M27" s="1"/>
      <c r="N27" s="1"/>
      <c r="O27" s="20"/>
      <c r="P27" s="20"/>
      <c r="Q27" s="20"/>
      <c r="R27" s="20"/>
      <c r="S27" s="20"/>
      <c r="T27" s="20"/>
      <c r="U27" s="20"/>
      <c r="V27" s="19" t="s">
        <v>40</v>
      </c>
      <c r="W27" s="20">
        <f>SQRT(U24/3)</f>
        <v>0.25458331969448955</v>
      </c>
      <c r="X27" s="20"/>
      <c r="AA27" s="1" t="s">
        <v>101</v>
      </c>
      <c r="AB27" s="46" t="s">
        <v>70</v>
      </c>
      <c r="AC27" s="25" t="s">
        <v>120</v>
      </c>
      <c r="AD27" s="16" t="s">
        <v>248</v>
      </c>
      <c r="AE27" s="1" t="s">
        <v>249</v>
      </c>
      <c r="AF27" s="15">
        <v>-24.228999999999999</v>
      </c>
      <c r="AG27" s="15">
        <v>0.23</v>
      </c>
      <c r="AH27" s="1">
        <v>-24.893999999999998</v>
      </c>
      <c r="AI27" s="1">
        <v>7.1999999999999995E-2</v>
      </c>
      <c r="AJ27" s="15">
        <f t="shared" si="16"/>
        <v>0.66499999999999915</v>
      </c>
      <c r="AK27" s="15">
        <f t="shared" si="17"/>
        <v>0.24100622398602076</v>
      </c>
      <c r="AL27" s="15">
        <f t="shared" si="18"/>
        <v>5.8084000000000004E-2</v>
      </c>
      <c r="AM27" s="16">
        <v>-0.87</v>
      </c>
      <c r="AN27" s="20">
        <f t="shared" si="19"/>
        <v>2.3562249999999976</v>
      </c>
      <c r="AO27" s="1" t="s">
        <v>155</v>
      </c>
      <c r="BB27" s="1" t="s">
        <v>101</v>
      </c>
      <c r="BC27" s="46" t="s">
        <v>70</v>
      </c>
      <c r="BD27" s="25" t="s">
        <v>120</v>
      </c>
      <c r="BE27" s="16" t="s">
        <v>248</v>
      </c>
      <c r="BF27" s="1" t="s">
        <v>249</v>
      </c>
      <c r="BG27" s="15">
        <v>-24.228999999999999</v>
      </c>
      <c r="BH27" s="15">
        <v>0.23</v>
      </c>
      <c r="BI27" s="1">
        <v>-24.893999999999998</v>
      </c>
      <c r="BJ27" s="1">
        <v>7.1999999999999995E-2</v>
      </c>
      <c r="BK27" s="15">
        <f t="shared" ref="BK27:BK28" si="21">(BG27-BI27)</f>
        <v>0.66499999999999915</v>
      </c>
      <c r="BL27" s="15">
        <f t="shared" ref="BL27:BL28" si="22">SQRT((BH27)^2 + (BJ27)^2)</f>
        <v>0.24100622398602076</v>
      </c>
      <c r="BM27" s="15">
        <f t="shared" ref="BM27:BM28" si="23">BL27^2</f>
        <v>5.8084000000000004E-2</v>
      </c>
      <c r="BN27" s="16">
        <v>-0.87</v>
      </c>
      <c r="BO27" s="20">
        <f t="shared" si="20"/>
        <v>2.3562249999999976</v>
      </c>
      <c r="BP27" s="1" t="s">
        <v>155</v>
      </c>
    </row>
    <row r="28" spans="10:68">
      <c r="J28" s="1"/>
      <c r="K28" s="1"/>
      <c r="L28" s="1"/>
      <c r="M28" s="1"/>
      <c r="N28" s="1"/>
      <c r="O28" s="20"/>
      <c r="P28" s="20"/>
      <c r="Q28" s="20"/>
      <c r="R28" s="20"/>
      <c r="S28" s="20"/>
      <c r="T28" s="20"/>
      <c r="U28" s="20"/>
      <c r="V28" s="20"/>
      <c r="W28" s="20"/>
      <c r="X28" s="20"/>
      <c r="AA28" s="1" t="s">
        <v>101</v>
      </c>
      <c r="AB28" s="46" t="s">
        <v>70</v>
      </c>
      <c r="AC28" s="25" t="s">
        <v>123</v>
      </c>
      <c r="AD28" s="24" t="s">
        <v>250</v>
      </c>
      <c r="AE28" s="1" t="s">
        <v>251</v>
      </c>
      <c r="AF28" s="15">
        <v>-24.204000000000001</v>
      </c>
      <c r="AG28" s="15">
        <v>0.20200000000000001</v>
      </c>
      <c r="AH28" s="1">
        <v>-24.027000000000001</v>
      </c>
      <c r="AI28" s="1">
        <v>0.24399999999999999</v>
      </c>
      <c r="AJ28" s="15">
        <f t="shared" si="16"/>
        <v>-0.1769999999999996</v>
      </c>
      <c r="AK28" s="15">
        <f t="shared" si="17"/>
        <v>0.3167648970451114</v>
      </c>
      <c r="AL28" s="15">
        <f t="shared" si="18"/>
        <v>0.10034000000000003</v>
      </c>
      <c r="AM28" s="16">
        <v>0.83</v>
      </c>
      <c r="AN28" s="20">
        <f t="shared" si="19"/>
        <v>1.0140489999999993</v>
      </c>
      <c r="AO28" s="1" t="s">
        <v>155</v>
      </c>
      <c r="BB28" s="1" t="s">
        <v>101</v>
      </c>
      <c r="BC28" s="46" t="s">
        <v>70</v>
      </c>
      <c r="BD28" s="25" t="s">
        <v>123</v>
      </c>
      <c r="BE28" s="24" t="s">
        <v>250</v>
      </c>
      <c r="BF28" s="1" t="s">
        <v>251</v>
      </c>
      <c r="BG28" s="15">
        <v>-24.204000000000001</v>
      </c>
      <c r="BH28" s="15">
        <v>0.20200000000000001</v>
      </c>
      <c r="BI28" s="1">
        <v>-24.027000000000001</v>
      </c>
      <c r="BJ28" s="1">
        <v>0.24399999999999999</v>
      </c>
      <c r="BK28" s="15">
        <f t="shared" si="21"/>
        <v>-0.1769999999999996</v>
      </c>
      <c r="BL28" s="15">
        <f t="shared" si="22"/>
        <v>0.3167648970451114</v>
      </c>
      <c r="BM28" s="15">
        <f t="shared" si="23"/>
        <v>0.10034000000000003</v>
      </c>
      <c r="BN28" s="16">
        <v>0.83</v>
      </c>
      <c r="BO28" s="20">
        <f t="shared" si="20"/>
        <v>1.0140489999999993</v>
      </c>
      <c r="BP28" s="1" t="s">
        <v>155</v>
      </c>
    </row>
    <row r="29" spans="10:68">
      <c r="J29" s="1"/>
      <c r="K29" s="1"/>
      <c r="L29" s="1"/>
      <c r="M29" s="1"/>
      <c r="N29" s="1"/>
      <c r="O29" s="20"/>
      <c r="P29" s="20"/>
      <c r="Q29" s="20"/>
      <c r="R29" s="20"/>
      <c r="S29" s="20"/>
      <c r="T29" s="20"/>
      <c r="U29" s="20"/>
      <c r="V29" s="20"/>
      <c r="W29" s="20"/>
      <c r="X29" s="20"/>
      <c r="AA29" s="1"/>
      <c r="AB29" s="1"/>
      <c r="AC29" s="1"/>
      <c r="AD29" s="1"/>
      <c r="AE29" s="1"/>
      <c r="AF29" s="1"/>
      <c r="AG29" s="1"/>
      <c r="AH29" s="1"/>
      <c r="AI29" s="1"/>
      <c r="AJ29" s="1"/>
      <c r="AK29" s="20"/>
      <c r="AL29" s="18" t="s">
        <v>67</v>
      </c>
      <c r="AM29" s="18"/>
      <c r="AN29" s="18" t="s">
        <v>67</v>
      </c>
      <c r="AO29" s="1"/>
      <c r="BM29" s="18" t="s">
        <v>67</v>
      </c>
      <c r="BN29" s="18"/>
      <c r="BO29" s="18" t="s">
        <v>67</v>
      </c>
    </row>
    <row r="30" spans="10:68" ht="17">
      <c r="J30" s="10" t="s">
        <v>79</v>
      </c>
      <c r="K30" s="1"/>
      <c r="L30" s="1"/>
      <c r="M30" s="1"/>
      <c r="N30" s="1"/>
      <c r="O30" s="20"/>
      <c r="P30" s="20"/>
      <c r="Q30" s="20"/>
      <c r="R30" s="20"/>
      <c r="S30" s="20"/>
      <c r="T30" s="20"/>
      <c r="U30" s="20"/>
      <c r="V30" s="20"/>
      <c r="W30" s="20"/>
      <c r="X30" s="20"/>
      <c r="AA30" s="1"/>
      <c r="AB30" s="1"/>
      <c r="AC30" s="1"/>
      <c r="AD30" s="1"/>
      <c r="AE30" s="1"/>
      <c r="AF30" s="1"/>
      <c r="AG30" s="1"/>
      <c r="AH30" s="1"/>
      <c r="AI30" s="1"/>
      <c r="AJ30" s="1"/>
      <c r="AK30" s="20"/>
      <c r="AL30" s="20">
        <f>SUM(AL25:AL28)</f>
        <v>0.17782300000000001</v>
      </c>
      <c r="AM30" s="20"/>
      <c r="AN30" s="20">
        <f>SUM(AN25:AN28)</f>
        <v>3.5426869999999955</v>
      </c>
      <c r="AO30" s="1"/>
      <c r="BM30" s="20">
        <f>SUM(BM25:BM28)</f>
        <v>0.17923000000000003</v>
      </c>
      <c r="BN30" s="20"/>
      <c r="BO30" s="20">
        <f>SUM(BO25:BO28)</f>
        <v>3.5006829999999969</v>
      </c>
    </row>
    <row r="31" spans="10:68">
      <c r="J31" s="12" t="s">
        <v>30</v>
      </c>
      <c r="K31" s="12" t="s">
        <v>31</v>
      </c>
      <c r="L31" s="13" t="s">
        <v>32</v>
      </c>
      <c r="M31" s="12" t="s">
        <v>33</v>
      </c>
      <c r="N31" s="12" t="s">
        <v>34</v>
      </c>
      <c r="O31" s="12" t="s">
        <v>35</v>
      </c>
      <c r="P31" s="12" t="s">
        <v>36</v>
      </c>
      <c r="Q31" s="12" t="s">
        <v>37</v>
      </c>
      <c r="R31" s="12" t="s">
        <v>38</v>
      </c>
      <c r="S31" s="12" t="s">
        <v>39</v>
      </c>
      <c r="T31" s="14" t="s">
        <v>40</v>
      </c>
      <c r="U31" s="12" t="s">
        <v>41</v>
      </c>
      <c r="V31" s="12" t="s">
        <v>42</v>
      </c>
      <c r="W31" s="12" t="s">
        <v>43</v>
      </c>
      <c r="X31" s="20"/>
      <c r="AA31" s="1"/>
      <c r="AB31" s="1"/>
      <c r="AC31" s="1"/>
      <c r="AD31" s="1"/>
      <c r="AE31" s="1"/>
      <c r="AF31" s="1"/>
      <c r="AG31" s="1"/>
      <c r="AH31" s="1"/>
      <c r="AI31" s="1"/>
      <c r="AJ31" s="1"/>
      <c r="AK31" s="1"/>
      <c r="AL31" s="1"/>
      <c r="AM31" s="1"/>
      <c r="AN31" s="1"/>
      <c r="AO31" s="1"/>
      <c r="BM31" s="20"/>
      <c r="BN31" s="20"/>
      <c r="BO31" s="20"/>
    </row>
    <row r="32" spans="10:68">
      <c r="J32" s="46" t="s">
        <v>45</v>
      </c>
      <c r="K32" s="46" t="s">
        <v>46</v>
      </c>
      <c r="L32" s="16" t="s">
        <v>121</v>
      </c>
      <c r="M32" s="46" t="s">
        <v>122</v>
      </c>
      <c r="N32" s="46" t="s">
        <v>140</v>
      </c>
      <c r="O32" s="15">
        <v>5.8109999999999999</v>
      </c>
      <c r="P32" s="15">
        <v>0.26</v>
      </c>
      <c r="Q32" s="15">
        <v>6.3979999999999997</v>
      </c>
      <c r="R32" s="15">
        <v>0.13100000000000001</v>
      </c>
      <c r="S32" s="15">
        <f>(O32-Q32)</f>
        <v>-0.58699999999999974</v>
      </c>
      <c r="T32" s="15">
        <f>SQRT((P32)^2 + (R32)^2)</f>
        <v>0.29113742459532749</v>
      </c>
      <c r="U32" s="15">
        <f>T32^2</f>
        <v>8.4761000000000003E-2</v>
      </c>
      <c r="V32" s="9">
        <v>0.05</v>
      </c>
      <c r="W32" s="20">
        <f>(S32-V32)^2</f>
        <v>0.40576899999999971</v>
      </c>
      <c r="X32" s="20"/>
      <c r="AA32" s="1"/>
      <c r="AB32" s="1"/>
      <c r="AC32" s="1"/>
      <c r="AD32" s="1"/>
      <c r="AE32" s="1"/>
      <c r="AF32" s="1"/>
      <c r="AG32" s="1"/>
      <c r="AH32" s="1"/>
      <c r="AI32" s="1"/>
      <c r="AJ32" s="1"/>
      <c r="AK32" s="1"/>
      <c r="AL32" s="1"/>
      <c r="AM32" s="19" t="s">
        <v>68</v>
      </c>
      <c r="AN32" s="1">
        <f>SQRT(AN30/4)</f>
        <v>0.94110134948367752</v>
      </c>
      <c r="AO32" s="1"/>
      <c r="BM32" s="20"/>
      <c r="BN32" s="19" t="s">
        <v>68</v>
      </c>
      <c r="BO32" s="20">
        <f>SQRT(BO30/4)</f>
        <v>0.93550561195537418</v>
      </c>
    </row>
    <row r="33" spans="10:67">
      <c r="J33" s="46" t="s">
        <v>45</v>
      </c>
      <c r="K33" s="46" t="s">
        <v>46</v>
      </c>
      <c r="L33" s="16" t="s">
        <v>124</v>
      </c>
      <c r="M33" s="46" t="s">
        <v>125</v>
      </c>
      <c r="N33" s="46" t="s">
        <v>58</v>
      </c>
      <c r="O33" s="15">
        <v>-39.886000000000003</v>
      </c>
      <c r="P33" s="15">
        <v>0.35399999999999998</v>
      </c>
      <c r="Q33" s="15">
        <v>-42.707000000000001</v>
      </c>
      <c r="R33" s="15">
        <v>0.13300000000000001</v>
      </c>
      <c r="S33" s="15">
        <f t="shared" ref="S33:S40" si="24">(O33-Q33)</f>
        <v>2.820999999999998</v>
      </c>
      <c r="T33" s="15">
        <f t="shared" ref="T33:T40" si="25">SQRT((P33)^2 + (R33)^2)</f>
        <v>0.37816001903955948</v>
      </c>
      <c r="U33" s="15">
        <f t="shared" ref="U33:U40" si="26">T33^2</f>
        <v>0.14300499999999999</v>
      </c>
      <c r="V33" s="9">
        <v>0.76</v>
      </c>
      <c r="W33" s="20">
        <f t="shared" ref="W33:W40" si="27">(S33-V33)^2</f>
        <v>4.2477209999999923</v>
      </c>
      <c r="X33" s="20"/>
      <c r="AA33" s="1"/>
      <c r="AB33" s="1"/>
      <c r="AC33" s="1"/>
      <c r="AD33" s="1"/>
      <c r="AE33" s="1"/>
      <c r="AF33" s="1"/>
      <c r="AG33" s="1"/>
      <c r="AH33" s="1"/>
      <c r="AI33" s="1"/>
      <c r="AJ33" s="1"/>
      <c r="AK33" s="1"/>
      <c r="AL33" s="1"/>
      <c r="AM33" s="19" t="s">
        <v>40</v>
      </c>
      <c r="AN33" s="1">
        <f>SQRT(AL30/4)</f>
        <v>0.21084532245226595</v>
      </c>
      <c r="AO33" s="1"/>
      <c r="BM33" s="20"/>
      <c r="BN33" s="19" t="s">
        <v>40</v>
      </c>
      <c r="BO33" s="20">
        <f>SQRT(BM30/4)</f>
        <v>0.21167782122839418</v>
      </c>
    </row>
    <row r="34" spans="10:67">
      <c r="J34" s="46" t="s">
        <v>45</v>
      </c>
      <c r="K34" s="46" t="s">
        <v>46</v>
      </c>
      <c r="L34" s="16" t="s">
        <v>127</v>
      </c>
      <c r="M34" s="46" t="s">
        <v>51</v>
      </c>
      <c r="N34" s="46" t="s">
        <v>60</v>
      </c>
      <c r="O34" s="15">
        <v>-5.2329999999999997</v>
      </c>
      <c r="P34" s="15">
        <v>0.23699999999999999</v>
      </c>
      <c r="Q34" s="15">
        <v>-6.1689999999999996</v>
      </c>
      <c r="R34" s="15">
        <v>0.108</v>
      </c>
      <c r="S34" s="15">
        <f t="shared" si="24"/>
        <v>0.93599999999999994</v>
      </c>
      <c r="T34" s="15">
        <f t="shared" si="25"/>
        <v>0.2604476914852577</v>
      </c>
      <c r="U34" s="15">
        <f t="shared" si="26"/>
        <v>6.7832999999999977E-2</v>
      </c>
      <c r="V34" s="9">
        <v>1.25</v>
      </c>
      <c r="W34" s="20">
        <f t="shared" si="27"/>
        <v>9.8596000000000031E-2</v>
      </c>
      <c r="X34" s="20"/>
      <c r="AA34" s="1"/>
      <c r="AB34" s="1"/>
      <c r="AC34" s="1"/>
      <c r="AD34" s="1"/>
      <c r="AE34" s="1"/>
      <c r="AF34" s="1"/>
      <c r="AG34" s="1"/>
      <c r="AH34" s="1"/>
      <c r="AI34" s="1"/>
      <c r="AJ34" s="1"/>
      <c r="AK34" s="1"/>
      <c r="AL34" s="1"/>
      <c r="AM34" s="1"/>
      <c r="AN34" s="1"/>
      <c r="AO34" s="1"/>
    </row>
    <row r="35" spans="10:67">
      <c r="J35" s="46" t="s">
        <v>45</v>
      </c>
      <c r="K35" s="46" t="s">
        <v>46</v>
      </c>
      <c r="L35" s="16" t="s">
        <v>128</v>
      </c>
      <c r="M35" s="46" t="s">
        <v>129</v>
      </c>
      <c r="N35" s="46" t="s">
        <v>61</v>
      </c>
      <c r="O35" s="15">
        <v>-5.5110000000000001</v>
      </c>
      <c r="P35" s="15">
        <v>0.11799999999999999</v>
      </c>
      <c r="Q35" s="15">
        <v>-6.67</v>
      </c>
      <c r="R35" s="15">
        <v>0.05</v>
      </c>
      <c r="S35" s="15">
        <f t="shared" si="24"/>
        <v>1.1589999999999998</v>
      </c>
      <c r="T35" s="15">
        <f t="shared" si="25"/>
        <v>0.12815615474880634</v>
      </c>
      <c r="U35" s="15">
        <f t="shared" si="26"/>
        <v>1.6423999999999998E-2</v>
      </c>
      <c r="V35" s="9">
        <v>1.1499999999999999</v>
      </c>
      <c r="W35" s="20">
        <f t="shared" si="27"/>
        <v>8.0999999999998147E-5</v>
      </c>
      <c r="X35" s="20"/>
      <c r="AA35" s="1"/>
      <c r="AB35" s="1"/>
      <c r="AC35" s="1"/>
      <c r="AD35" s="1"/>
      <c r="AE35" s="1"/>
      <c r="AF35" s="1"/>
      <c r="AG35" s="1"/>
      <c r="AH35" s="1"/>
      <c r="AI35" s="1"/>
      <c r="AJ35" s="1"/>
      <c r="AK35" s="1"/>
      <c r="AL35" s="1"/>
      <c r="AM35" s="1"/>
      <c r="AN35" s="1"/>
      <c r="AO35" s="1"/>
    </row>
    <row r="36" spans="10:67" ht="17">
      <c r="J36" s="46" t="s">
        <v>45</v>
      </c>
      <c r="K36" s="46" t="s">
        <v>46</v>
      </c>
      <c r="L36" s="16" t="s">
        <v>131</v>
      </c>
      <c r="M36" s="46" t="s">
        <v>132</v>
      </c>
      <c r="N36" s="46" t="s">
        <v>141</v>
      </c>
      <c r="O36" s="15">
        <v>48.58</v>
      </c>
      <c r="P36" s="15">
        <v>0.16700000000000001</v>
      </c>
      <c r="Q36" s="15">
        <v>46.384999999999998</v>
      </c>
      <c r="R36" s="15">
        <v>0.113</v>
      </c>
      <c r="S36" s="15">
        <f t="shared" si="24"/>
        <v>2.1950000000000003</v>
      </c>
      <c r="T36" s="15">
        <f t="shared" si="25"/>
        <v>0.20163829001457043</v>
      </c>
      <c r="U36" s="15">
        <f t="shared" si="26"/>
        <v>4.0658000000000014E-2</v>
      </c>
      <c r="V36" s="9">
        <v>1.1100000000000001</v>
      </c>
      <c r="W36" s="20">
        <f t="shared" si="27"/>
        <v>1.1772250000000004</v>
      </c>
      <c r="X36" s="20"/>
      <c r="AA36" s="1"/>
      <c r="AB36" s="1"/>
      <c r="AC36" s="1"/>
      <c r="AD36" s="1"/>
      <c r="AE36" s="1"/>
      <c r="AF36" s="1"/>
      <c r="AG36" s="1"/>
      <c r="AH36" s="1"/>
      <c r="AI36" s="1"/>
      <c r="AJ36" s="1"/>
      <c r="AK36" s="1"/>
      <c r="AL36" s="1"/>
      <c r="AM36" s="1"/>
      <c r="AN36" s="1"/>
      <c r="AO36" s="1"/>
      <c r="BB36" s="10" t="s">
        <v>113</v>
      </c>
      <c r="BC36" s="11"/>
      <c r="BD36" s="11"/>
      <c r="BE36" s="11"/>
      <c r="BF36" s="11"/>
      <c r="BG36" s="11"/>
      <c r="BH36" s="11"/>
      <c r="BI36" s="11"/>
      <c r="BJ36" s="11"/>
      <c r="BK36" s="11"/>
      <c r="BL36" s="11"/>
      <c r="BM36" s="11"/>
      <c r="BN36" s="11"/>
      <c r="BO36" s="11"/>
    </row>
    <row r="37" spans="10:67">
      <c r="J37" s="46" t="s">
        <v>45</v>
      </c>
      <c r="K37" s="46" t="s">
        <v>46</v>
      </c>
      <c r="L37" s="16" t="s">
        <v>133</v>
      </c>
      <c r="M37" s="46" t="s">
        <v>53</v>
      </c>
      <c r="N37" s="46" t="s">
        <v>62</v>
      </c>
      <c r="O37" s="15">
        <v>46.439</v>
      </c>
      <c r="P37" s="15">
        <v>0.22900000000000001</v>
      </c>
      <c r="Q37" s="15">
        <v>45.734999999999999</v>
      </c>
      <c r="R37" s="15">
        <v>8.2000000000000003E-2</v>
      </c>
      <c r="S37" s="15">
        <f t="shared" si="24"/>
        <v>0.70400000000000063</v>
      </c>
      <c r="T37" s="15">
        <f t="shared" si="25"/>
        <v>0.24323856602109789</v>
      </c>
      <c r="U37" s="15">
        <f t="shared" si="26"/>
        <v>5.9164999999999995E-2</v>
      </c>
      <c r="V37" s="9">
        <v>0.55000000000000004</v>
      </c>
      <c r="W37" s="20">
        <f t="shared" si="27"/>
        <v>2.3716000000000178E-2</v>
      </c>
      <c r="X37" s="20"/>
      <c r="AA37" s="1"/>
      <c r="AB37" s="1"/>
      <c r="AC37" s="1"/>
      <c r="AD37" s="1"/>
      <c r="AE37" s="1"/>
      <c r="AF37" s="1"/>
      <c r="AG37" s="1"/>
      <c r="AH37" s="1"/>
      <c r="AI37" s="1"/>
      <c r="AJ37" s="1"/>
      <c r="AK37" s="1"/>
      <c r="AL37" s="1"/>
      <c r="AM37" s="1"/>
      <c r="AN37" s="1"/>
      <c r="AO37" s="1"/>
      <c r="BB37" s="12" t="s">
        <v>30</v>
      </c>
      <c r="BC37" s="12" t="s">
        <v>31</v>
      </c>
      <c r="BD37" s="13" t="s">
        <v>32</v>
      </c>
      <c r="BE37" s="12" t="s">
        <v>33</v>
      </c>
      <c r="BF37" s="12" t="s">
        <v>34</v>
      </c>
      <c r="BG37" s="12" t="s">
        <v>35</v>
      </c>
      <c r="BH37" s="12" t="s">
        <v>36</v>
      </c>
      <c r="BI37" s="12" t="s">
        <v>37</v>
      </c>
      <c r="BJ37" s="12" t="s">
        <v>38</v>
      </c>
      <c r="BK37" s="12" t="s">
        <v>39</v>
      </c>
      <c r="BL37" s="14" t="s">
        <v>40</v>
      </c>
      <c r="BM37" s="12" t="s">
        <v>41</v>
      </c>
      <c r="BN37" s="12" t="s">
        <v>42</v>
      </c>
      <c r="BO37" s="12" t="s">
        <v>43</v>
      </c>
    </row>
    <row r="38" spans="10:67" ht="17">
      <c r="J38" s="46" t="s">
        <v>45</v>
      </c>
      <c r="K38" s="46" t="s">
        <v>46</v>
      </c>
      <c r="L38" s="16" t="s">
        <v>134</v>
      </c>
      <c r="M38" s="46" t="s">
        <v>135</v>
      </c>
      <c r="N38" s="46" t="s">
        <v>142</v>
      </c>
      <c r="O38" s="15">
        <v>46.414999999999999</v>
      </c>
      <c r="P38" s="15">
        <v>9.4E-2</v>
      </c>
      <c r="Q38" s="15">
        <v>46.613</v>
      </c>
      <c r="R38" s="15">
        <v>4.1000000000000002E-2</v>
      </c>
      <c r="S38" s="15">
        <f t="shared" si="24"/>
        <v>-0.1980000000000004</v>
      </c>
      <c r="T38" s="15">
        <f t="shared" si="25"/>
        <v>0.10255242561733974</v>
      </c>
      <c r="U38" s="15">
        <f t="shared" si="26"/>
        <v>1.0517E-2</v>
      </c>
      <c r="V38" s="9">
        <v>0.09</v>
      </c>
      <c r="W38" s="20">
        <f t="shared" si="27"/>
        <v>8.2944000000000212E-2</v>
      </c>
      <c r="X38" s="20"/>
      <c r="AA38" s="10" t="s">
        <v>156</v>
      </c>
      <c r="AB38" s="1"/>
      <c r="AC38" s="1"/>
      <c r="AD38" s="1"/>
      <c r="AE38" s="1"/>
      <c r="AF38" s="1"/>
      <c r="AG38" s="1"/>
      <c r="AH38" s="1"/>
      <c r="AI38" s="1"/>
      <c r="AJ38" s="1"/>
      <c r="AK38" s="1"/>
      <c r="AL38" s="1"/>
      <c r="AM38" s="1"/>
      <c r="AN38" s="1"/>
      <c r="AO38" s="1"/>
      <c r="BB38" s="1" t="s">
        <v>101</v>
      </c>
      <c r="BC38" s="46" t="s">
        <v>46</v>
      </c>
      <c r="BD38" s="25" t="s">
        <v>9</v>
      </c>
      <c r="BE38" s="3" t="s">
        <v>83</v>
      </c>
      <c r="BF38" s="1" t="s">
        <v>89</v>
      </c>
      <c r="BG38" s="1">
        <v>-33.256999999999998</v>
      </c>
      <c r="BH38" s="1">
        <v>0.222</v>
      </c>
      <c r="BI38" s="15">
        <v>-36.273000000000003</v>
      </c>
      <c r="BJ38" s="15">
        <v>0.26500000000000001</v>
      </c>
      <c r="BK38" s="20">
        <f>(BG38-BI38)</f>
        <v>3.0160000000000053</v>
      </c>
      <c r="BL38" s="20">
        <f>SQRT((BH38)^2 + (BJ38)^2)</f>
        <v>0.34570073763299958</v>
      </c>
      <c r="BM38" s="20">
        <f>BL38^2</f>
        <v>0.119509</v>
      </c>
      <c r="BN38" s="9">
        <v>1.48</v>
      </c>
      <c r="BO38" s="20">
        <f>(BK38-BN38)^2</f>
        <v>2.3592960000000165</v>
      </c>
    </row>
    <row r="39" spans="10:67">
      <c r="J39" s="46" t="s">
        <v>45</v>
      </c>
      <c r="K39" s="46" t="s">
        <v>46</v>
      </c>
      <c r="L39" s="16" t="s">
        <v>136</v>
      </c>
      <c r="M39" s="46" t="s">
        <v>137</v>
      </c>
      <c r="N39" s="46" t="s">
        <v>143</v>
      </c>
      <c r="O39" s="15">
        <v>-7.976</v>
      </c>
      <c r="P39" s="15">
        <v>5.8999999999999997E-2</v>
      </c>
      <c r="Q39" s="15">
        <v>-7.2640000000000002</v>
      </c>
      <c r="R39" s="15">
        <v>0.23</v>
      </c>
      <c r="S39" s="15">
        <f t="shared" si="24"/>
        <v>-0.71199999999999974</v>
      </c>
      <c r="T39" s="15">
        <f t="shared" si="25"/>
        <v>0.23744683615495912</v>
      </c>
      <c r="U39" s="15">
        <f t="shared" si="26"/>
        <v>5.6381000000000001E-2</v>
      </c>
      <c r="V39" s="9">
        <v>0.83</v>
      </c>
      <c r="W39" s="20">
        <f t="shared" si="27"/>
        <v>2.3777639999999995</v>
      </c>
      <c r="X39" s="11"/>
      <c r="AA39" s="12" t="s">
        <v>30</v>
      </c>
      <c r="AB39" s="12" t="s">
        <v>31</v>
      </c>
      <c r="AC39" s="13" t="s">
        <v>32</v>
      </c>
      <c r="AD39" s="12" t="s">
        <v>33</v>
      </c>
      <c r="AE39" s="12" t="s">
        <v>34</v>
      </c>
      <c r="AF39" s="12" t="s">
        <v>35</v>
      </c>
      <c r="AG39" s="12" t="s">
        <v>36</v>
      </c>
      <c r="AH39" s="12" t="s">
        <v>37</v>
      </c>
      <c r="AI39" s="12" t="s">
        <v>38</v>
      </c>
      <c r="AJ39" s="12" t="s">
        <v>39</v>
      </c>
      <c r="AK39" s="14" t="s">
        <v>40</v>
      </c>
      <c r="AL39" s="12" t="s">
        <v>41</v>
      </c>
      <c r="AM39" s="12" t="s">
        <v>42</v>
      </c>
      <c r="AN39" s="12" t="s">
        <v>43</v>
      </c>
      <c r="AO39" s="1"/>
      <c r="BB39" s="1" t="s">
        <v>101</v>
      </c>
      <c r="BC39" s="46" t="s">
        <v>46</v>
      </c>
      <c r="BD39" s="16" t="s">
        <v>11</v>
      </c>
      <c r="BE39" s="3" t="s">
        <v>84</v>
      </c>
      <c r="BF39" s="1" t="s">
        <v>90</v>
      </c>
      <c r="BG39" s="15">
        <v>-41.031999999999996</v>
      </c>
      <c r="BH39" s="15">
        <v>0.35899999999999999</v>
      </c>
      <c r="BI39" s="15">
        <v>-42.084000000000003</v>
      </c>
      <c r="BJ39" s="15">
        <v>0.17699999999999999</v>
      </c>
      <c r="BK39" s="20">
        <f t="shared" ref="BK39:BK50" si="28">(BG39-BI39)</f>
        <v>1.0520000000000067</v>
      </c>
      <c r="BL39" s="20">
        <f t="shared" ref="BL39:BL50" si="29">SQRT((BH39)^2 + (BJ39)^2)</f>
        <v>0.40026241392366585</v>
      </c>
      <c r="BM39" s="20">
        <f t="shared" ref="BM39:BM50" si="30">BL39^2</f>
        <v>0.16021000000000002</v>
      </c>
      <c r="BN39" s="9">
        <v>1.33</v>
      </c>
      <c r="BO39" s="20">
        <f t="shared" ref="BO39:BO50" si="31">(BK39-BN39)^2</f>
        <v>7.7283999999996314E-2</v>
      </c>
    </row>
    <row r="40" spans="10:67">
      <c r="J40" s="46" t="s">
        <v>45</v>
      </c>
      <c r="K40" s="46" t="s">
        <v>46</v>
      </c>
      <c r="L40" s="25" t="s">
        <v>138</v>
      </c>
      <c r="M40" s="46" t="s">
        <v>139</v>
      </c>
      <c r="N40" s="46" t="s">
        <v>144</v>
      </c>
      <c r="O40" s="15">
        <v>-15.865</v>
      </c>
      <c r="P40" s="15">
        <v>0.19500000000000001</v>
      </c>
      <c r="Q40" s="15">
        <v>-20.622</v>
      </c>
      <c r="R40" s="15">
        <v>0.23899999999999999</v>
      </c>
      <c r="S40" s="15">
        <f t="shared" si="24"/>
        <v>4.7569999999999997</v>
      </c>
      <c r="T40" s="15">
        <f t="shared" si="25"/>
        <v>0.3084574524954779</v>
      </c>
      <c r="U40" s="15">
        <f t="shared" si="26"/>
        <v>9.5146000000000008E-2</v>
      </c>
      <c r="V40" s="9">
        <v>1.07</v>
      </c>
      <c r="W40" s="20">
        <f t="shared" si="27"/>
        <v>13.593968999999996</v>
      </c>
      <c r="X40" s="11"/>
      <c r="AA40" s="1" t="s">
        <v>101</v>
      </c>
      <c r="AB40" s="46" t="s">
        <v>46</v>
      </c>
      <c r="AC40" s="25" t="s">
        <v>9</v>
      </c>
      <c r="AD40" s="3" t="s">
        <v>83</v>
      </c>
      <c r="AE40" s="1" t="s">
        <v>89</v>
      </c>
      <c r="AF40" s="1">
        <v>-33.256999999999998</v>
      </c>
      <c r="AG40" s="1">
        <v>0.222</v>
      </c>
      <c r="AH40" s="15">
        <v>-36.273000000000003</v>
      </c>
      <c r="AI40" s="15">
        <v>0.26500000000000001</v>
      </c>
      <c r="AJ40" s="20">
        <f>(AF40-AH40)</f>
        <v>3.0160000000000053</v>
      </c>
      <c r="AK40" s="20">
        <f>SQRT((AG40)^2 + (AI40)^2)</f>
        <v>0.34570073763299958</v>
      </c>
      <c r="AL40" s="20">
        <f>AK40^2</f>
        <v>0.119509</v>
      </c>
      <c r="AM40" s="9">
        <v>1.48</v>
      </c>
      <c r="AN40" s="20">
        <f>(AJ40-AM40)^2</f>
        <v>2.3592960000000165</v>
      </c>
      <c r="AO40" s="1"/>
      <c r="BB40" s="1" t="s">
        <v>101</v>
      </c>
      <c r="BC40" s="46" t="s">
        <v>46</v>
      </c>
      <c r="BD40" s="16" t="s">
        <v>121</v>
      </c>
      <c r="BE40" s="3" t="s">
        <v>122</v>
      </c>
      <c r="BF40" s="1" t="s">
        <v>140</v>
      </c>
      <c r="BG40" s="15">
        <v>5.74</v>
      </c>
      <c r="BH40" s="15">
        <v>0.311</v>
      </c>
      <c r="BI40" s="15">
        <v>5.9009999999999998</v>
      </c>
      <c r="BJ40" s="15">
        <v>5.7000000000000002E-2</v>
      </c>
      <c r="BK40" s="20">
        <f t="shared" si="28"/>
        <v>-0.16099999999999959</v>
      </c>
      <c r="BL40" s="20">
        <f t="shared" si="29"/>
        <v>0.3161803282938393</v>
      </c>
      <c r="BM40" s="20">
        <f t="shared" si="30"/>
        <v>9.9969999999999989E-2</v>
      </c>
      <c r="BN40" s="9">
        <v>0.05</v>
      </c>
      <c r="BO40" s="20">
        <f t="shared" si="31"/>
        <v>4.4520999999999825E-2</v>
      </c>
    </row>
    <row r="41" spans="10:67">
      <c r="J41" s="46" t="s">
        <v>45</v>
      </c>
      <c r="K41" s="46" t="s">
        <v>70</v>
      </c>
      <c r="L41" s="16" t="s">
        <v>4</v>
      </c>
      <c r="M41" s="46" t="s">
        <v>245</v>
      </c>
      <c r="N41" s="46" t="s">
        <v>77</v>
      </c>
      <c r="O41" s="15">
        <v>46.284999999999997</v>
      </c>
      <c r="P41" s="15">
        <v>0.13100000000000001</v>
      </c>
      <c r="Q41" s="15">
        <v>46.186</v>
      </c>
      <c r="R41" s="15">
        <v>8.2000000000000003E-2</v>
      </c>
      <c r="S41" s="15">
        <f>(O41-Q41)</f>
        <v>9.8999999999996646E-2</v>
      </c>
      <c r="T41" s="15">
        <f>SQRT((P41)^2 + (R41)^2)</f>
        <v>0.15454772725601629</v>
      </c>
      <c r="U41" s="15">
        <f>T41^2</f>
        <v>2.3885E-2</v>
      </c>
      <c r="V41" s="16">
        <v>-0.22</v>
      </c>
      <c r="W41" s="20">
        <f>(S41-V41)^2</f>
        <v>0.10176099999999784</v>
      </c>
      <c r="X41" s="11"/>
      <c r="AA41" s="1" t="s">
        <v>101</v>
      </c>
      <c r="AB41" s="46" t="s">
        <v>46</v>
      </c>
      <c r="AC41" s="16" t="s">
        <v>11</v>
      </c>
      <c r="AD41" s="3" t="s">
        <v>84</v>
      </c>
      <c r="AE41" s="1" t="s">
        <v>90</v>
      </c>
      <c r="AF41" s="15">
        <v>-41.031999999999996</v>
      </c>
      <c r="AG41" s="15">
        <v>0.35899999999999999</v>
      </c>
      <c r="AH41" s="15">
        <v>-42.084000000000003</v>
      </c>
      <c r="AI41" s="15">
        <v>0.17699999999999999</v>
      </c>
      <c r="AJ41" s="20">
        <f t="shared" ref="AJ41:AJ52" si="32">(AF41-AH41)</f>
        <v>1.0520000000000067</v>
      </c>
      <c r="AK41" s="20">
        <f t="shared" ref="AK41:AK52" si="33">SQRT((AG41)^2 + (AI41)^2)</f>
        <v>0.40026241392366585</v>
      </c>
      <c r="AL41" s="20">
        <f t="shared" ref="AL41:AL52" si="34">AK41^2</f>
        <v>0.16021000000000002</v>
      </c>
      <c r="AM41" s="9">
        <v>1.33</v>
      </c>
      <c r="AN41" s="20">
        <f t="shared" ref="AN41:AN52" si="35">(AJ41-AM41)^2</f>
        <v>7.7283999999996314E-2</v>
      </c>
      <c r="AO41" s="1"/>
      <c r="BB41" s="1" t="s">
        <v>101</v>
      </c>
      <c r="BC41" s="46" t="s">
        <v>46</v>
      </c>
      <c r="BD41" s="16" t="s">
        <v>124</v>
      </c>
      <c r="BE41" s="3" t="s">
        <v>125</v>
      </c>
      <c r="BF41" s="1" t="s">
        <v>58</v>
      </c>
      <c r="BG41" s="1">
        <v>-41.08</v>
      </c>
      <c r="BH41" s="1">
        <v>0.3</v>
      </c>
      <c r="BI41" s="15">
        <v>-42.408000000000001</v>
      </c>
      <c r="BJ41" s="15">
        <v>7.2999999999999995E-2</v>
      </c>
      <c r="BK41" s="20">
        <f t="shared" si="28"/>
        <v>1.328000000000003</v>
      </c>
      <c r="BL41" s="20">
        <f t="shared" si="29"/>
        <v>0.30875394734318784</v>
      </c>
      <c r="BM41" s="20">
        <f t="shared" si="30"/>
        <v>9.5329000000000011E-2</v>
      </c>
      <c r="BN41" s="9">
        <v>0.76</v>
      </c>
      <c r="BO41" s="20">
        <f t="shared" si="31"/>
        <v>0.32262400000000335</v>
      </c>
    </row>
    <row r="42" spans="10:67">
      <c r="J42" s="46" t="s">
        <v>45</v>
      </c>
      <c r="K42" s="46" t="s">
        <v>70</v>
      </c>
      <c r="L42" s="16" t="s">
        <v>119</v>
      </c>
      <c r="M42" s="46" t="s">
        <v>246</v>
      </c>
      <c r="N42" s="46" t="s">
        <v>247</v>
      </c>
      <c r="O42" s="15">
        <v>68.379000000000005</v>
      </c>
      <c r="P42" s="15">
        <v>0.13700000000000001</v>
      </c>
      <c r="Q42" s="15">
        <v>68.165000000000006</v>
      </c>
      <c r="R42" s="15">
        <v>0.114</v>
      </c>
      <c r="S42" s="15">
        <f t="shared" ref="S42:S43" si="36">(O42-Q42)</f>
        <v>0.21399999999999864</v>
      </c>
      <c r="T42" s="15">
        <f t="shared" ref="T42:T43" si="37">SQRT((P42)^2 + (R42)^2)</f>
        <v>0.17822738285684386</v>
      </c>
      <c r="U42" s="15">
        <f t="shared" ref="U42:U43" si="38">T42^2</f>
        <v>3.1765000000000002E-2</v>
      </c>
      <c r="V42" s="16">
        <v>0.2</v>
      </c>
      <c r="W42" s="20">
        <f t="shared" ref="W42:W43" si="39">(S42-V42)^2</f>
        <v>1.9599999999996148E-4</v>
      </c>
      <c r="X42" s="11"/>
      <c r="AA42" s="1" t="s">
        <v>235</v>
      </c>
      <c r="AB42" s="46" t="s">
        <v>46</v>
      </c>
      <c r="AC42" s="16" t="s">
        <v>121</v>
      </c>
      <c r="AD42" s="3" t="s">
        <v>122</v>
      </c>
      <c r="AE42" s="1" t="s">
        <v>140</v>
      </c>
      <c r="AF42" s="15">
        <v>5.931</v>
      </c>
      <c r="AG42" s="15">
        <v>0.36099999999999999</v>
      </c>
      <c r="AH42" s="15">
        <v>6.2450000000000001</v>
      </c>
      <c r="AI42" s="15">
        <v>0.11700000000000001</v>
      </c>
      <c r="AJ42" s="20">
        <f t="shared" si="32"/>
        <v>-0.31400000000000006</v>
      </c>
      <c r="AK42" s="20">
        <f t="shared" si="33"/>
        <v>0.37948649514837812</v>
      </c>
      <c r="AL42" s="20">
        <f t="shared" si="34"/>
        <v>0.14401</v>
      </c>
      <c r="AM42" s="9">
        <v>0.05</v>
      </c>
      <c r="AN42" s="20">
        <f t="shared" si="35"/>
        <v>0.13249600000000003</v>
      </c>
      <c r="AO42" s="1"/>
      <c r="BB42" s="1" t="s">
        <v>101</v>
      </c>
      <c r="BC42" s="46" t="s">
        <v>46</v>
      </c>
      <c r="BD42" s="16" t="s">
        <v>126</v>
      </c>
      <c r="BE42" s="3" t="s">
        <v>50</v>
      </c>
      <c r="BF42" s="1" t="s">
        <v>59</v>
      </c>
      <c r="BG42" s="15">
        <v>15.252000000000001</v>
      </c>
      <c r="BH42" s="15">
        <v>0.17299999999999999</v>
      </c>
      <c r="BI42" s="1">
        <v>13.148999999999999</v>
      </c>
      <c r="BJ42" s="1">
        <v>0.11600000000000001</v>
      </c>
      <c r="BK42" s="20">
        <f t="shared" si="28"/>
        <v>2.1030000000000015</v>
      </c>
      <c r="BL42" s="20">
        <f t="shared" si="29"/>
        <v>0.20829066229670498</v>
      </c>
      <c r="BM42" s="20">
        <f t="shared" si="30"/>
        <v>4.3385E-2</v>
      </c>
      <c r="BN42" s="9">
        <v>0.35</v>
      </c>
      <c r="BO42" s="20">
        <f t="shared" si="31"/>
        <v>3.0730090000000052</v>
      </c>
    </row>
    <row r="43" spans="10:67">
      <c r="J43" s="46" t="s">
        <v>45</v>
      </c>
      <c r="K43" s="46" t="s">
        <v>70</v>
      </c>
      <c r="L43" s="25" t="s">
        <v>120</v>
      </c>
      <c r="M43" s="46" t="s">
        <v>248</v>
      </c>
      <c r="N43" s="46" t="s">
        <v>249</v>
      </c>
      <c r="O43" s="15">
        <v>-23.271000000000001</v>
      </c>
      <c r="P43" s="15">
        <v>0.35199999999999998</v>
      </c>
      <c r="Q43" s="20">
        <v>-24.797000000000001</v>
      </c>
      <c r="R43" s="20">
        <v>0.122</v>
      </c>
      <c r="S43" s="15">
        <f t="shared" si="36"/>
        <v>1.5259999999999998</v>
      </c>
      <c r="T43" s="15">
        <f t="shared" si="37"/>
        <v>0.37254261501202784</v>
      </c>
      <c r="U43" s="15">
        <f t="shared" si="38"/>
        <v>0.13878799999999999</v>
      </c>
      <c r="V43" s="16">
        <v>-0.87</v>
      </c>
      <c r="W43" s="20">
        <f t="shared" si="39"/>
        <v>5.7408159999999997</v>
      </c>
      <c r="X43" s="11"/>
      <c r="AA43" s="1" t="s">
        <v>101</v>
      </c>
      <c r="AB43" s="46" t="s">
        <v>46</v>
      </c>
      <c r="AC43" s="16" t="s">
        <v>124</v>
      </c>
      <c r="AD43" s="3" t="s">
        <v>125</v>
      </c>
      <c r="AE43" s="1" t="s">
        <v>58</v>
      </c>
      <c r="AF43" s="1">
        <v>-41.08</v>
      </c>
      <c r="AG43" s="1">
        <v>0.3</v>
      </c>
      <c r="AH43" s="15">
        <v>-42.408000000000001</v>
      </c>
      <c r="AI43" s="15">
        <v>7.2999999999999995E-2</v>
      </c>
      <c r="AJ43" s="20">
        <f t="shared" si="32"/>
        <v>1.328000000000003</v>
      </c>
      <c r="AK43" s="20">
        <f t="shared" si="33"/>
        <v>0.30875394734318784</v>
      </c>
      <c r="AL43" s="20">
        <f t="shared" si="34"/>
        <v>9.5329000000000011E-2</v>
      </c>
      <c r="AM43" s="9">
        <v>0.76</v>
      </c>
      <c r="AN43" s="20">
        <f t="shared" si="35"/>
        <v>0.32262400000000335</v>
      </c>
      <c r="AO43" s="1"/>
      <c r="BB43" s="1" t="s">
        <v>101</v>
      </c>
      <c r="BC43" s="46" t="s">
        <v>46</v>
      </c>
      <c r="BD43" s="16" t="s">
        <v>127</v>
      </c>
      <c r="BE43" s="3" t="s">
        <v>51</v>
      </c>
      <c r="BF43" s="1" t="s">
        <v>60</v>
      </c>
      <c r="BG43" s="15">
        <v>-5.1340000000000003</v>
      </c>
      <c r="BH43" s="15">
        <v>0.223</v>
      </c>
      <c r="BI43" s="15">
        <v>-6.1769999999999996</v>
      </c>
      <c r="BJ43" s="15">
        <v>6.5000000000000002E-2</v>
      </c>
      <c r="BK43" s="20">
        <f t="shared" si="28"/>
        <v>1.0429999999999993</v>
      </c>
      <c r="BL43" s="20">
        <f t="shared" si="29"/>
        <v>0.23228000344411914</v>
      </c>
      <c r="BM43" s="20">
        <f t="shared" si="30"/>
        <v>5.3954000000000002E-2</v>
      </c>
      <c r="BN43" s="9">
        <v>1.25</v>
      </c>
      <c r="BO43" s="20">
        <f t="shared" si="31"/>
        <v>4.2849000000000304E-2</v>
      </c>
    </row>
    <row r="44" spans="10:67">
      <c r="O44" s="11"/>
      <c r="P44" s="11"/>
      <c r="Q44" s="11"/>
      <c r="R44" s="11"/>
      <c r="S44" s="11"/>
      <c r="T44" s="11"/>
      <c r="U44" s="18" t="s">
        <v>67</v>
      </c>
      <c r="V44" s="18"/>
      <c r="W44" s="18" t="s">
        <v>67</v>
      </c>
      <c r="X44" s="11"/>
      <c r="AA44" s="1" t="s">
        <v>235</v>
      </c>
      <c r="AB44" s="46" t="s">
        <v>46</v>
      </c>
      <c r="AC44" s="16" t="s">
        <v>126</v>
      </c>
      <c r="AD44" s="3" t="s">
        <v>50</v>
      </c>
      <c r="AE44" s="1" t="s">
        <v>59</v>
      </c>
      <c r="AF44" s="15">
        <v>15.148</v>
      </c>
      <c r="AG44" s="15">
        <v>0.10299999999999999</v>
      </c>
      <c r="AH44" s="1">
        <v>13.061</v>
      </c>
      <c r="AI44" s="1">
        <v>0.09</v>
      </c>
      <c r="AJ44" s="20">
        <f t="shared" si="32"/>
        <v>2.0869999999999997</v>
      </c>
      <c r="AK44" s="20">
        <f t="shared" si="33"/>
        <v>0.1367808466123821</v>
      </c>
      <c r="AL44" s="20">
        <f t="shared" si="34"/>
        <v>1.8709E-2</v>
      </c>
      <c r="AM44" s="9">
        <v>0.35</v>
      </c>
      <c r="AN44" s="20">
        <f t="shared" si="35"/>
        <v>3.0171689999999987</v>
      </c>
      <c r="AO44" s="1"/>
      <c r="BB44" s="1" t="s">
        <v>101</v>
      </c>
      <c r="BC44" s="46" t="s">
        <v>46</v>
      </c>
      <c r="BD44" s="16" t="s">
        <v>128</v>
      </c>
      <c r="BE44" s="3" t="s">
        <v>129</v>
      </c>
      <c r="BF44" s="1" t="s">
        <v>61</v>
      </c>
      <c r="BG44" s="15">
        <v>-5.8659999999999997</v>
      </c>
      <c r="BH44" s="15">
        <v>6.5000000000000002E-2</v>
      </c>
      <c r="BI44" s="15">
        <v>-6.9390000000000001</v>
      </c>
      <c r="BJ44" s="15">
        <v>2.8000000000000001E-2</v>
      </c>
      <c r="BK44" s="20">
        <f t="shared" si="28"/>
        <v>1.0730000000000004</v>
      </c>
      <c r="BL44" s="20">
        <f t="shared" si="29"/>
        <v>7.0774289116881994E-2</v>
      </c>
      <c r="BM44" s="20">
        <f t="shared" si="30"/>
        <v>5.0090000000000013E-3</v>
      </c>
      <c r="BN44" s="9">
        <v>1.1499999999999999</v>
      </c>
      <c r="BO44" s="20">
        <f t="shared" si="31"/>
        <v>5.9289999999999248E-3</v>
      </c>
    </row>
    <row r="45" spans="10:67">
      <c r="O45" s="11"/>
      <c r="P45" s="11"/>
      <c r="Q45" s="11"/>
      <c r="R45" s="11"/>
      <c r="S45" s="11"/>
      <c r="T45" s="11"/>
      <c r="U45" s="20">
        <f>SUM(U32:U43)</f>
        <v>0.76832800000000012</v>
      </c>
      <c r="V45" s="20"/>
      <c r="W45" s="20">
        <f>SUM(W32:W43)</f>
        <v>27.850557999999982</v>
      </c>
      <c r="X45" s="11"/>
      <c r="AA45" s="1" t="s">
        <v>235</v>
      </c>
      <c r="AB45" s="46" t="s">
        <v>46</v>
      </c>
      <c r="AC45" s="16" t="s">
        <v>127</v>
      </c>
      <c r="AD45" s="3" t="s">
        <v>51</v>
      </c>
      <c r="AE45" s="1" t="s">
        <v>60</v>
      </c>
      <c r="AF45" s="15">
        <v>-4.5380000000000003</v>
      </c>
      <c r="AG45" s="15">
        <v>0.28499999999999998</v>
      </c>
      <c r="AH45" s="15">
        <v>-6.1989999999999998</v>
      </c>
      <c r="AI45" s="15">
        <v>6.5000000000000002E-2</v>
      </c>
      <c r="AJ45" s="20">
        <f t="shared" si="32"/>
        <v>1.6609999999999996</v>
      </c>
      <c r="AK45" s="20">
        <f t="shared" si="33"/>
        <v>0.29231831964486932</v>
      </c>
      <c r="AL45" s="20">
        <f t="shared" si="34"/>
        <v>8.5449999999999998E-2</v>
      </c>
      <c r="AM45" s="9">
        <v>1.25</v>
      </c>
      <c r="AN45" s="20">
        <f t="shared" si="35"/>
        <v>0.16892099999999965</v>
      </c>
      <c r="AO45" s="1"/>
      <c r="BB45" s="1" t="s">
        <v>101</v>
      </c>
      <c r="BC45" s="46" t="s">
        <v>46</v>
      </c>
      <c r="BD45" s="16" t="s">
        <v>130</v>
      </c>
      <c r="BE45" s="3" t="s">
        <v>85</v>
      </c>
      <c r="BF45" s="1" t="s">
        <v>91</v>
      </c>
      <c r="BG45" s="15">
        <v>-6.25</v>
      </c>
      <c r="BH45" s="15">
        <v>0.32100000000000001</v>
      </c>
      <c r="BI45" s="15">
        <v>-6.1029999999999998</v>
      </c>
      <c r="BJ45" s="15">
        <v>0.13400000000000001</v>
      </c>
      <c r="BK45" s="20">
        <f t="shared" si="28"/>
        <v>-0.14700000000000024</v>
      </c>
      <c r="BL45" s="20">
        <f t="shared" si="29"/>
        <v>0.34784623039498358</v>
      </c>
      <c r="BM45" s="20">
        <f t="shared" si="30"/>
        <v>0.12099699999999999</v>
      </c>
      <c r="BN45" s="9">
        <v>0.86</v>
      </c>
      <c r="BO45" s="20">
        <f t="shared" si="31"/>
        <v>1.0140490000000002</v>
      </c>
    </row>
    <row r="46" spans="10:67">
      <c r="O46" s="11"/>
      <c r="P46" s="11"/>
      <c r="Q46" s="11"/>
      <c r="R46" s="11"/>
      <c r="S46" s="11"/>
      <c r="T46" s="11"/>
      <c r="U46" s="20"/>
      <c r="V46" s="20"/>
      <c r="W46" s="20"/>
      <c r="X46" s="11"/>
      <c r="AA46" s="1" t="s">
        <v>235</v>
      </c>
      <c r="AB46" s="46" t="s">
        <v>46</v>
      </c>
      <c r="AC46" s="16" t="s">
        <v>128</v>
      </c>
      <c r="AD46" s="3" t="s">
        <v>129</v>
      </c>
      <c r="AE46" s="1" t="s">
        <v>61</v>
      </c>
      <c r="AF46" s="15">
        <v>-5.7709999999999999</v>
      </c>
      <c r="AG46" s="15">
        <v>7.6999999999999999E-2</v>
      </c>
      <c r="AH46" s="15">
        <v>-6.8360000000000003</v>
      </c>
      <c r="AI46" s="15">
        <v>1.9E-2</v>
      </c>
      <c r="AJ46" s="20">
        <f t="shared" si="32"/>
        <v>1.0650000000000004</v>
      </c>
      <c r="AK46" s="20">
        <f t="shared" si="33"/>
        <v>7.9309520235593414E-2</v>
      </c>
      <c r="AL46" s="20">
        <f t="shared" si="34"/>
        <v>6.2900000000000013E-3</v>
      </c>
      <c r="AM46" s="9">
        <v>1.1499999999999999</v>
      </c>
      <c r="AN46" s="20">
        <f t="shared" si="35"/>
        <v>7.2249999999999181E-3</v>
      </c>
      <c r="AO46" s="1"/>
      <c r="BB46" s="1" t="s">
        <v>101</v>
      </c>
      <c r="BC46" s="46" t="s">
        <v>46</v>
      </c>
      <c r="BD46" s="16" t="s">
        <v>131</v>
      </c>
      <c r="BE46" s="3" t="s">
        <v>132</v>
      </c>
      <c r="BF46" s="1" t="s">
        <v>141</v>
      </c>
      <c r="BG46" s="15">
        <v>46.78</v>
      </c>
      <c r="BH46" s="15">
        <v>0.189</v>
      </c>
      <c r="BI46" s="15">
        <v>46.335999999999999</v>
      </c>
      <c r="BJ46" s="15">
        <v>2.1999999999999999E-2</v>
      </c>
      <c r="BK46" s="20">
        <f t="shared" si="28"/>
        <v>0.44400000000000261</v>
      </c>
      <c r="BL46" s="20">
        <f t="shared" si="29"/>
        <v>0.19027611515899731</v>
      </c>
      <c r="BM46" s="20">
        <f t="shared" si="30"/>
        <v>3.6205000000000008E-2</v>
      </c>
      <c r="BN46" s="9">
        <v>1.1100000000000001</v>
      </c>
      <c r="BO46" s="20">
        <f t="shared" si="31"/>
        <v>0.44355599999999662</v>
      </c>
    </row>
    <row r="47" spans="10:67">
      <c r="O47" s="11"/>
      <c r="P47" s="11"/>
      <c r="Q47" s="11"/>
      <c r="R47" s="11"/>
      <c r="S47" s="11"/>
      <c r="T47" s="11"/>
      <c r="U47" s="20"/>
      <c r="V47" s="19" t="s">
        <v>68</v>
      </c>
      <c r="W47" s="20">
        <f>SQRT(W45/12)</f>
        <v>1.5234434132363865</v>
      </c>
      <c r="X47" s="11"/>
      <c r="AA47" s="1" t="s">
        <v>256</v>
      </c>
      <c r="AB47" s="46" t="s">
        <v>46</v>
      </c>
      <c r="AC47" s="16" t="s">
        <v>130</v>
      </c>
      <c r="AD47" s="3" t="s">
        <v>85</v>
      </c>
      <c r="AE47" s="1" t="s">
        <v>91</v>
      </c>
      <c r="AF47" s="15">
        <v>-6.25</v>
      </c>
      <c r="AG47" s="15">
        <v>0.32100000000000001</v>
      </c>
      <c r="AH47" s="15">
        <v>-6.1029999999999998</v>
      </c>
      <c r="AI47" s="15">
        <v>0.13400000000000001</v>
      </c>
      <c r="AJ47" s="20">
        <f t="shared" si="32"/>
        <v>-0.14700000000000024</v>
      </c>
      <c r="AK47" s="20">
        <f t="shared" si="33"/>
        <v>0.34784623039498358</v>
      </c>
      <c r="AL47" s="20">
        <f t="shared" si="34"/>
        <v>0.12099699999999999</v>
      </c>
      <c r="AM47" s="9">
        <v>0.86</v>
      </c>
      <c r="AN47" s="20">
        <f t="shared" si="35"/>
        <v>1.0140490000000002</v>
      </c>
      <c r="AO47" s="1"/>
      <c r="BB47" s="1" t="s">
        <v>101</v>
      </c>
      <c r="BC47" s="46" t="s">
        <v>46</v>
      </c>
      <c r="BD47" s="16" t="s">
        <v>133</v>
      </c>
      <c r="BE47" s="3" t="s">
        <v>53</v>
      </c>
      <c r="BF47" s="1" t="s">
        <v>62</v>
      </c>
      <c r="BG47" s="15">
        <v>46.156999999999996</v>
      </c>
      <c r="BH47" s="15">
        <v>0.13</v>
      </c>
      <c r="BI47" s="15">
        <v>46.040999999999997</v>
      </c>
      <c r="BJ47" s="15">
        <v>4.1000000000000002E-2</v>
      </c>
      <c r="BK47" s="20">
        <f t="shared" si="28"/>
        <v>0.11599999999999966</v>
      </c>
      <c r="BL47" s="20">
        <f t="shared" si="29"/>
        <v>0.13631214179228496</v>
      </c>
      <c r="BM47" s="20">
        <f t="shared" si="30"/>
        <v>1.8581E-2</v>
      </c>
      <c r="BN47" s="9">
        <v>0.55000000000000004</v>
      </c>
      <c r="BO47" s="20">
        <f t="shared" si="31"/>
        <v>0.18835600000000033</v>
      </c>
    </row>
    <row r="48" spans="10:67">
      <c r="O48" s="11"/>
      <c r="P48" s="11"/>
      <c r="Q48" s="11"/>
      <c r="R48" s="11"/>
      <c r="S48" s="11"/>
      <c r="T48" s="11"/>
      <c r="U48" s="20"/>
      <c r="V48" s="19" t="s">
        <v>40</v>
      </c>
      <c r="W48" s="20">
        <f>SQRT(U45/12)</f>
        <v>0.25303622929006303</v>
      </c>
      <c r="X48" s="11"/>
      <c r="AA48" s="1" t="s">
        <v>235</v>
      </c>
      <c r="AB48" s="46" t="s">
        <v>46</v>
      </c>
      <c r="AC48" s="16" t="s">
        <v>131</v>
      </c>
      <c r="AD48" s="3" t="s">
        <v>132</v>
      </c>
      <c r="AE48" s="1" t="s">
        <v>141</v>
      </c>
      <c r="AF48" s="1">
        <v>46.613999999999997</v>
      </c>
      <c r="AG48" s="1">
        <v>0.17299999999999999</v>
      </c>
      <c r="AH48" s="15">
        <v>46.436999999999998</v>
      </c>
      <c r="AI48" s="15">
        <v>0.04</v>
      </c>
      <c r="AJ48" s="20">
        <f t="shared" si="32"/>
        <v>0.1769999999999996</v>
      </c>
      <c r="AK48" s="20">
        <f t="shared" si="33"/>
        <v>0.1775640729426986</v>
      </c>
      <c r="AL48" s="20">
        <f t="shared" si="34"/>
        <v>3.1528999999999988E-2</v>
      </c>
      <c r="AM48" s="9">
        <v>1.1100000000000001</v>
      </c>
      <c r="AN48" s="20">
        <f t="shared" si="35"/>
        <v>0.87048900000000096</v>
      </c>
      <c r="AO48" s="1"/>
      <c r="BB48" s="1" t="s">
        <v>101</v>
      </c>
      <c r="BC48" s="46" t="s">
        <v>46</v>
      </c>
      <c r="BD48" s="16" t="s">
        <v>134</v>
      </c>
      <c r="BE48" s="3" t="s">
        <v>135</v>
      </c>
      <c r="BF48" s="1" t="s">
        <v>142</v>
      </c>
      <c r="BG48" s="15">
        <v>46.546999999999997</v>
      </c>
      <c r="BH48" s="15">
        <v>7.0000000000000007E-2</v>
      </c>
      <c r="BI48" s="15">
        <v>46.643999999999998</v>
      </c>
      <c r="BJ48" s="15">
        <v>2.7E-2</v>
      </c>
      <c r="BK48" s="20">
        <f t="shared" si="28"/>
        <v>-9.7000000000001307E-2</v>
      </c>
      <c r="BL48" s="20">
        <f t="shared" si="29"/>
        <v>7.5026661927610774E-2</v>
      </c>
      <c r="BM48" s="20">
        <f t="shared" si="30"/>
        <v>5.6290000000000003E-3</v>
      </c>
      <c r="BN48" s="9">
        <v>0.09</v>
      </c>
      <c r="BO48" s="20">
        <f t="shared" si="31"/>
        <v>3.4969000000000486E-2</v>
      </c>
    </row>
    <row r="49" spans="10:67">
      <c r="O49" s="11"/>
      <c r="P49" s="11"/>
      <c r="Q49" s="11"/>
      <c r="R49" s="11"/>
      <c r="S49" s="11"/>
      <c r="T49" s="11"/>
      <c r="U49" s="20"/>
      <c r="V49" s="20"/>
      <c r="W49" s="20"/>
      <c r="X49" s="11"/>
      <c r="AA49" s="1" t="s">
        <v>235</v>
      </c>
      <c r="AB49" s="46" t="s">
        <v>46</v>
      </c>
      <c r="AC49" s="16" t="s">
        <v>133</v>
      </c>
      <c r="AD49" s="3" t="s">
        <v>53</v>
      </c>
      <c r="AE49" s="1" t="s">
        <v>62</v>
      </c>
      <c r="AF49" s="15">
        <v>46.369</v>
      </c>
      <c r="AG49" s="15">
        <v>0.26700000000000002</v>
      </c>
      <c r="AH49" s="15">
        <v>46.024000000000001</v>
      </c>
      <c r="AI49" s="15">
        <v>0.108</v>
      </c>
      <c r="AJ49" s="20">
        <f t="shared" si="32"/>
        <v>0.34499999999999886</v>
      </c>
      <c r="AK49" s="20">
        <f t="shared" si="33"/>
        <v>0.28801562457616775</v>
      </c>
      <c r="AL49" s="20">
        <f t="shared" si="34"/>
        <v>8.2952999999999999E-2</v>
      </c>
      <c r="AM49" s="9">
        <v>0.55000000000000004</v>
      </c>
      <c r="AN49" s="20">
        <f t="shared" si="35"/>
        <v>4.2025000000000486E-2</v>
      </c>
      <c r="AO49" s="1"/>
      <c r="BB49" s="1" t="s">
        <v>101</v>
      </c>
      <c r="BC49" s="46" t="s">
        <v>46</v>
      </c>
      <c r="BD49" s="16" t="s">
        <v>136</v>
      </c>
      <c r="BE49" s="3" t="s">
        <v>137</v>
      </c>
      <c r="BF49" s="1" t="s">
        <v>143</v>
      </c>
      <c r="BG49" s="15">
        <v>-8.5679999999999996</v>
      </c>
      <c r="BH49" s="15">
        <v>0.121</v>
      </c>
      <c r="BI49" s="15">
        <v>-8.1649999999999991</v>
      </c>
      <c r="BJ49" s="15">
        <v>6.6000000000000003E-2</v>
      </c>
      <c r="BK49" s="20">
        <f t="shared" si="28"/>
        <v>-0.40300000000000047</v>
      </c>
      <c r="BL49" s="20">
        <f t="shared" si="29"/>
        <v>0.13782960494755833</v>
      </c>
      <c r="BM49" s="20">
        <f t="shared" si="30"/>
        <v>1.8996999999999997E-2</v>
      </c>
      <c r="BN49" s="9">
        <v>0.83</v>
      </c>
      <c r="BO49" s="20">
        <f t="shared" si="31"/>
        <v>1.5202890000000013</v>
      </c>
    </row>
    <row r="50" spans="10:67" ht="17">
      <c r="J50" s="10" t="s">
        <v>80</v>
      </c>
      <c r="K50" s="1"/>
      <c r="L50" s="1"/>
      <c r="M50" s="1"/>
      <c r="N50" s="1"/>
      <c r="O50" s="20"/>
      <c r="P50" s="20"/>
      <c r="Q50" s="20"/>
      <c r="R50" s="20"/>
      <c r="S50" s="20"/>
      <c r="T50" s="20"/>
      <c r="U50" s="20"/>
      <c r="V50" s="20"/>
      <c r="W50" s="20"/>
      <c r="X50" s="11"/>
      <c r="AA50" s="1" t="s">
        <v>235</v>
      </c>
      <c r="AB50" s="46" t="s">
        <v>46</v>
      </c>
      <c r="AC50" s="16" t="s">
        <v>134</v>
      </c>
      <c r="AD50" s="3" t="s">
        <v>135</v>
      </c>
      <c r="AE50" s="1" t="s">
        <v>142</v>
      </c>
      <c r="AF50" s="15">
        <v>46.584000000000003</v>
      </c>
      <c r="AG50" s="15">
        <v>4.8000000000000001E-2</v>
      </c>
      <c r="AH50" s="15">
        <v>46.661000000000001</v>
      </c>
      <c r="AI50" s="15">
        <v>5.7000000000000002E-2</v>
      </c>
      <c r="AJ50" s="20">
        <f t="shared" si="32"/>
        <v>-7.6999999999998181E-2</v>
      </c>
      <c r="AK50" s="20">
        <f t="shared" si="33"/>
        <v>7.4518454090245323E-2</v>
      </c>
      <c r="AL50" s="20">
        <f t="shared" si="34"/>
        <v>5.5529999999999998E-3</v>
      </c>
      <c r="AM50" s="9">
        <v>0.09</v>
      </c>
      <c r="AN50" s="20">
        <f t="shared" si="35"/>
        <v>2.788899999999939E-2</v>
      </c>
      <c r="AO50" s="1"/>
      <c r="BB50" s="1" t="s">
        <v>101</v>
      </c>
      <c r="BC50" s="46" t="s">
        <v>46</v>
      </c>
      <c r="BD50" s="25" t="s">
        <v>138</v>
      </c>
      <c r="BE50" s="3" t="s">
        <v>139</v>
      </c>
      <c r="BF50" s="1" t="s">
        <v>144</v>
      </c>
      <c r="BG50" s="1">
        <v>-20.12</v>
      </c>
      <c r="BH50" s="1">
        <v>0.253</v>
      </c>
      <c r="BI50" s="15">
        <v>-20.663</v>
      </c>
      <c r="BJ50" s="15">
        <v>0.18</v>
      </c>
      <c r="BK50" s="20">
        <f t="shared" si="28"/>
        <v>0.54299999999999926</v>
      </c>
      <c r="BL50" s="20">
        <f t="shared" si="29"/>
        <v>0.31049798711102783</v>
      </c>
      <c r="BM50" s="20">
        <f t="shared" si="30"/>
        <v>9.6409000000000009E-2</v>
      </c>
      <c r="BN50" s="9">
        <v>1.07</v>
      </c>
      <c r="BO50" s="20">
        <f t="shared" si="31"/>
        <v>0.27772900000000084</v>
      </c>
    </row>
    <row r="51" spans="10:67">
      <c r="J51" s="12" t="s">
        <v>30</v>
      </c>
      <c r="K51" s="12" t="s">
        <v>31</v>
      </c>
      <c r="L51" s="13" t="s">
        <v>32</v>
      </c>
      <c r="M51" s="12" t="s">
        <v>33</v>
      </c>
      <c r="N51" s="12" t="s">
        <v>34</v>
      </c>
      <c r="O51" s="12" t="s">
        <v>35</v>
      </c>
      <c r="P51" s="12" t="s">
        <v>36</v>
      </c>
      <c r="Q51" s="12" t="s">
        <v>37</v>
      </c>
      <c r="R51" s="12" t="s">
        <v>38</v>
      </c>
      <c r="S51" s="12" t="s">
        <v>39</v>
      </c>
      <c r="T51" s="14" t="s">
        <v>40</v>
      </c>
      <c r="U51" s="12" t="s">
        <v>41</v>
      </c>
      <c r="V51" s="12" t="s">
        <v>42</v>
      </c>
      <c r="W51" s="12" t="s">
        <v>43</v>
      </c>
      <c r="X51" s="11"/>
      <c r="AA51" s="1" t="s">
        <v>235</v>
      </c>
      <c r="AB51" s="46" t="s">
        <v>46</v>
      </c>
      <c r="AC51" s="16" t="s">
        <v>136</v>
      </c>
      <c r="AD51" s="3" t="s">
        <v>137</v>
      </c>
      <c r="AE51" s="1" t="s">
        <v>143</v>
      </c>
      <c r="AF51" s="15">
        <v>-8.8450000000000006</v>
      </c>
      <c r="AG51" s="15">
        <v>0.106</v>
      </c>
      <c r="AH51" s="15">
        <v>-7.7030000000000003</v>
      </c>
      <c r="AI51" s="15">
        <v>0.193</v>
      </c>
      <c r="AJ51" s="20">
        <f t="shared" si="32"/>
        <v>-1.1420000000000003</v>
      </c>
      <c r="AK51" s="20">
        <f t="shared" si="33"/>
        <v>0.22019309707617993</v>
      </c>
      <c r="AL51" s="20">
        <f t="shared" si="34"/>
        <v>4.8485E-2</v>
      </c>
      <c r="AM51" s="9">
        <v>0.83</v>
      </c>
      <c r="AN51" s="20">
        <f t="shared" si="35"/>
        <v>3.8887840000000016</v>
      </c>
      <c r="AO51" s="1"/>
      <c r="BB51" s="1" t="s">
        <v>101</v>
      </c>
      <c r="BC51" s="46" t="s">
        <v>70</v>
      </c>
      <c r="BD51" s="16" t="s">
        <v>4</v>
      </c>
      <c r="BE51" s="16" t="s">
        <v>245</v>
      </c>
      <c r="BF51" s="1" t="s">
        <v>77</v>
      </c>
      <c r="BG51" s="15">
        <v>46.182000000000002</v>
      </c>
      <c r="BH51" s="15">
        <v>0.13100000000000001</v>
      </c>
      <c r="BI51" s="15">
        <v>46.055</v>
      </c>
      <c r="BJ51" s="15">
        <v>1.7999999999999999E-2</v>
      </c>
      <c r="BK51" s="15">
        <v>0.127</v>
      </c>
      <c r="BL51" s="15">
        <v>0.131837021</v>
      </c>
      <c r="BM51" s="15">
        <v>1.7381000000000001E-2</v>
      </c>
      <c r="BN51" s="16">
        <v>-0.22</v>
      </c>
      <c r="BO51" s="20">
        <f>(BK51-BN51)^2</f>
        <v>0.12040899999999999</v>
      </c>
    </row>
    <row r="52" spans="10:67">
      <c r="J52" s="46" t="s">
        <v>45</v>
      </c>
      <c r="K52" s="46" t="s">
        <v>46</v>
      </c>
      <c r="L52" s="16" t="s">
        <v>121</v>
      </c>
      <c r="M52" s="46" t="s">
        <v>122</v>
      </c>
      <c r="N52" s="46" t="s">
        <v>140</v>
      </c>
      <c r="O52" s="15">
        <v>5.8109999999999999</v>
      </c>
      <c r="P52" s="15">
        <v>0.26</v>
      </c>
      <c r="Q52" s="15">
        <v>6.3979999999999997</v>
      </c>
      <c r="R52" s="15">
        <v>0.13100000000000001</v>
      </c>
      <c r="S52" s="15">
        <f>(O52-Q52)</f>
        <v>-0.58699999999999974</v>
      </c>
      <c r="T52" s="15">
        <f>SQRT((P52)^2 + (R52)^2)</f>
        <v>0.29113742459532749</v>
      </c>
      <c r="U52" s="15">
        <f>T52^2</f>
        <v>8.4761000000000003E-2</v>
      </c>
      <c r="V52" s="9">
        <v>0.05</v>
      </c>
      <c r="W52" s="20">
        <f>(S52-V52)^2</f>
        <v>0.40576899999999971</v>
      </c>
      <c r="X52" s="11"/>
      <c r="AA52" s="1" t="s">
        <v>101</v>
      </c>
      <c r="AB52" s="46" t="s">
        <v>46</v>
      </c>
      <c r="AC52" s="25" t="s">
        <v>138</v>
      </c>
      <c r="AD52" s="3" t="s">
        <v>139</v>
      </c>
      <c r="AE52" s="1" t="s">
        <v>144</v>
      </c>
      <c r="AF52" s="1">
        <v>-20.12</v>
      </c>
      <c r="AG52" s="1">
        <v>0.253</v>
      </c>
      <c r="AH52" s="15">
        <v>-20.663</v>
      </c>
      <c r="AI52" s="15">
        <v>0.18</v>
      </c>
      <c r="AJ52" s="20">
        <f t="shared" si="32"/>
        <v>0.54299999999999926</v>
      </c>
      <c r="AK52" s="20">
        <f t="shared" si="33"/>
        <v>0.31049798711102783</v>
      </c>
      <c r="AL52" s="20">
        <f t="shared" si="34"/>
        <v>9.6409000000000009E-2</v>
      </c>
      <c r="AM52" s="9">
        <v>1.07</v>
      </c>
      <c r="AN52" s="20">
        <f t="shared" si="35"/>
        <v>0.27772900000000084</v>
      </c>
      <c r="AO52" s="1"/>
      <c r="BB52" s="1" t="s">
        <v>101</v>
      </c>
      <c r="BC52" s="46" t="s">
        <v>70</v>
      </c>
      <c r="BD52" s="16" t="s">
        <v>119</v>
      </c>
      <c r="BE52" s="16" t="s">
        <v>246</v>
      </c>
      <c r="BF52" s="1" t="s">
        <v>247</v>
      </c>
      <c r="BG52" s="15">
        <v>68.605000000000004</v>
      </c>
      <c r="BH52" s="15">
        <v>3.5000000000000003E-2</v>
      </c>
      <c r="BI52" s="15">
        <v>68.305000000000007</v>
      </c>
      <c r="BJ52" s="15">
        <v>4.7E-2</v>
      </c>
      <c r="BK52" s="15">
        <v>0.3</v>
      </c>
      <c r="BL52" s="15">
        <v>5.8523499999999999E-2</v>
      </c>
      <c r="BM52" s="15">
        <v>3.4250000000000001E-3</v>
      </c>
      <c r="BN52" s="16">
        <v>0.2</v>
      </c>
      <c r="BO52" s="20">
        <f t="shared" ref="BO52:BO54" si="40">(BK52-BN52)^2</f>
        <v>9.999999999999995E-3</v>
      </c>
    </row>
    <row r="53" spans="10:67">
      <c r="J53" s="46" t="s">
        <v>45</v>
      </c>
      <c r="K53" s="46" t="s">
        <v>46</v>
      </c>
      <c r="L53" s="16" t="s">
        <v>124</v>
      </c>
      <c r="M53" s="46" t="s">
        <v>125</v>
      </c>
      <c r="N53" s="46" t="s">
        <v>58</v>
      </c>
      <c r="O53" s="15">
        <v>-39.886000000000003</v>
      </c>
      <c r="P53" s="15">
        <v>0.35399999999999998</v>
      </c>
      <c r="Q53" s="15">
        <v>-42.707000000000001</v>
      </c>
      <c r="R53" s="15">
        <v>0.13300000000000001</v>
      </c>
      <c r="S53" s="15">
        <f t="shared" ref="S53:S59" si="41">(O53-Q53)</f>
        <v>2.820999999999998</v>
      </c>
      <c r="T53" s="15">
        <f t="shared" ref="T53:T59" si="42">SQRT((P53)^2 + (R53)^2)</f>
        <v>0.37816001903955948</v>
      </c>
      <c r="U53" s="15">
        <f t="shared" ref="U53:U59" si="43">T53^2</f>
        <v>0.14300499999999999</v>
      </c>
      <c r="V53" s="9">
        <v>0.76</v>
      </c>
      <c r="W53" s="20">
        <f t="shared" ref="W53:W59" si="44">(S53-V53)^2</f>
        <v>4.2477209999999923</v>
      </c>
      <c r="X53" s="11"/>
      <c r="AA53" s="1" t="s">
        <v>82</v>
      </c>
      <c r="AB53" s="46" t="s">
        <v>70</v>
      </c>
      <c r="AC53" s="16" t="s">
        <v>4</v>
      </c>
      <c r="AD53" s="16" t="s">
        <v>245</v>
      </c>
      <c r="AE53" s="1" t="s">
        <v>77</v>
      </c>
      <c r="AF53" s="15">
        <v>46.137999999999998</v>
      </c>
      <c r="AG53" s="15">
        <v>5.0999999999999997E-2</v>
      </c>
      <c r="AH53" s="15">
        <v>46.04</v>
      </c>
      <c r="AI53" s="15">
        <v>2.7E-2</v>
      </c>
      <c r="AJ53" s="15">
        <f>(AF53-AH53)</f>
        <v>9.7999999999998977E-2</v>
      </c>
      <c r="AK53" s="15">
        <f>SQRT((AG53)^2 + (AI53)^2)</f>
        <v>5.7706152185014029E-2</v>
      </c>
      <c r="AL53" s="15">
        <f>AK53^2</f>
        <v>3.3299999999999992E-3</v>
      </c>
      <c r="AM53" s="16">
        <v>-0.22</v>
      </c>
      <c r="AN53" s="20">
        <f>(AJ53-AM53)^2</f>
        <v>0.10112399999999933</v>
      </c>
      <c r="AO53" s="1"/>
      <c r="BB53" s="1" t="s">
        <v>101</v>
      </c>
      <c r="BC53" s="46" t="s">
        <v>70</v>
      </c>
      <c r="BD53" s="25" t="s">
        <v>120</v>
      </c>
      <c r="BE53" s="16" t="s">
        <v>248</v>
      </c>
      <c r="BF53" s="1" t="s">
        <v>249</v>
      </c>
      <c r="BG53" s="15">
        <v>-24.228999999999999</v>
      </c>
      <c r="BH53" s="15">
        <v>0.23</v>
      </c>
      <c r="BI53" s="1">
        <v>-24.893999999999998</v>
      </c>
      <c r="BJ53" s="1">
        <v>7.1999999999999995E-2</v>
      </c>
      <c r="BK53" s="15">
        <f t="shared" ref="BK53:BK54" si="45">(BG53-BI53)</f>
        <v>0.66499999999999915</v>
      </c>
      <c r="BL53" s="15">
        <f t="shared" ref="BL53:BL54" si="46">SQRT((BH53)^2 + (BJ53)^2)</f>
        <v>0.24100622398602076</v>
      </c>
      <c r="BM53" s="15">
        <f t="shared" ref="BM53:BM54" si="47">BL53^2</f>
        <v>5.8084000000000004E-2</v>
      </c>
      <c r="BN53" s="16">
        <v>-0.87</v>
      </c>
      <c r="BO53" s="20">
        <f t="shared" si="40"/>
        <v>2.3562249999999976</v>
      </c>
    </row>
    <row r="54" spans="10:67">
      <c r="J54" s="46" t="s">
        <v>45</v>
      </c>
      <c r="K54" s="46" t="s">
        <v>46</v>
      </c>
      <c r="L54" s="16" t="s">
        <v>127</v>
      </c>
      <c r="M54" s="46" t="s">
        <v>51</v>
      </c>
      <c r="N54" s="46" t="s">
        <v>60</v>
      </c>
      <c r="O54" s="15">
        <v>-5.2329999999999997</v>
      </c>
      <c r="P54" s="15">
        <v>0.23699999999999999</v>
      </c>
      <c r="Q54" s="15">
        <v>-6.1689999999999996</v>
      </c>
      <c r="R54" s="15">
        <v>0.108</v>
      </c>
      <c r="S54" s="15">
        <f t="shared" si="41"/>
        <v>0.93599999999999994</v>
      </c>
      <c r="T54" s="15">
        <f t="shared" si="42"/>
        <v>0.2604476914852577</v>
      </c>
      <c r="U54" s="15">
        <f t="shared" si="43"/>
        <v>6.7832999999999977E-2</v>
      </c>
      <c r="V54" s="9">
        <v>1.25</v>
      </c>
      <c r="W54" s="20">
        <f t="shared" si="44"/>
        <v>9.8596000000000031E-2</v>
      </c>
      <c r="X54" s="11"/>
      <c r="AA54" s="1" t="s">
        <v>82</v>
      </c>
      <c r="AB54" s="46" t="s">
        <v>70</v>
      </c>
      <c r="AC54" s="16" t="s">
        <v>119</v>
      </c>
      <c r="AD54" s="16" t="s">
        <v>246</v>
      </c>
      <c r="AE54" s="1" t="s">
        <v>247</v>
      </c>
      <c r="AF54" s="15">
        <v>68.563000000000002</v>
      </c>
      <c r="AG54" s="15">
        <v>0.11</v>
      </c>
      <c r="AH54" s="15">
        <v>68.096000000000004</v>
      </c>
      <c r="AI54" s="15">
        <v>6.3E-2</v>
      </c>
      <c r="AJ54" s="15">
        <f t="shared" ref="AJ54:AJ56" si="48">(AF54-AH54)</f>
        <v>0.46699999999999875</v>
      </c>
      <c r="AK54" s="15">
        <f t="shared" ref="AK54:AK56" si="49">SQRT((AG54)^2 + (AI54)^2)</f>
        <v>0.126763559432512</v>
      </c>
      <c r="AL54" s="15">
        <f t="shared" ref="AL54:AL56" si="50">AK54^2</f>
        <v>1.6069E-2</v>
      </c>
      <c r="AM54" s="16">
        <v>0.2</v>
      </c>
      <c r="AN54" s="20">
        <f t="shared" ref="AN54:AN56" si="51">(AJ54-AM54)^2</f>
        <v>7.1288999999999325E-2</v>
      </c>
      <c r="AO54" s="1"/>
      <c r="BB54" s="1" t="s">
        <v>101</v>
      </c>
      <c r="BC54" s="46" t="s">
        <v>70</v>
      </c>
      <c r="BD54" s="25" t="s">
        <v>123</v>
      </c>
      <c r="BE54" s="24" t="s">
        <v>250</v>
      </c>
      <c r="BF54" s="1" t="s">
        <v>251</v>
      </c>
      <c r="BG54" s="15">
        <v>-24.204000000000001</v>
      </c>
      <c r="BH54" s="15">
        <v>0.20200000000000001</v>
      </c>
      <c r="BI54" s="1">
        <v>-24.027000000000001</v>
      </c>
      <c r="BJ54" s="1">
        <v>0.24399999999999999</v>
      </c>
      <c r="BK54" s="15">
        <f t="shared" si="45"/>
        <v>-0.1769999999999996</v>
      </c>
      <c r="BL54" s="15">
        <f t="shared" si="46"/>
        <v>0.3167648970451114</v>
      </c>
      <c r="BM54" s="15">
        <f t="shared" si="47"/>
        <v>0.10034000000000003</v>
      </c>
      <c r="BN54" s="16">
        <v>0.83</v>
      </c>
      <c r="BO54" s="20">
        <f t="shared" si="40"/>
        <v>1.0140489999999993</v>
      </c>
    </row>
    <row r="55" spans="10:67">
      <c r="J55" s="46" t="s">
        <v>45</v>
      </c>
      <c r="K55" s="46" t="s">
        <v>46</v>
      </c>
      <c r="L55" s="16" t="s">
        <v>128</v>
      </c>
      <c r="M55" s="46" t="s">
        <v>129</v>
      </c>
      <c r="N55" s="46" t="s">
        <v>61</v>
      </c>
      <c r="O55" s="15">
        <v>-5.5110000000000001</v>
      </c>
      <c r="P55" s="15">
        <v>0.11799999999999999</v>
      </c>
      <c r="Q55" s="15">
        <v>-6.67</v>
      </c>
      <c r="R55" s="15">
        <v>0.05</v>
      </c>
      <c r="S55" s="15">
        <f t="shared" si="41"/>
        <v>1.1589999999999998</v>
      </c>
      <c r="T55" s="15">
        <f t="shared" si="42"/>
        <v>0.12815615474880634</v>
      </c>
      <c r="U55" s="15">
        <f t="shared" si="43"/>
        <v>1.6423999999999998E-2</v>
      </c>
      <c r="V55" s="9">
        <v>1.1499999999999999</v>
      </c>
      <c r="W55" s="20">
        <f t="shared" si="44"/>
        <v>8.0999999999998147E-5</v>
      </c>
      <c r="X55" s="11"/>
      <c r="AA55" s="1" t="s">
        <v>101</v>
      </c>
      <c r="AB55" s="46" t="s">
        <v>70</v>
      </c>
      <c r="AC55" s="25" t="s">
        <v>120</v>
      </c>
      <c r="AD55" s="16" t="s">
        <v>248</v>
      </c>
      <c r="AE55" s="1" t="s">
        <v>249</v>
      </c>
      <c r="AF55" s="15">
        <v>-24.228999999999999</v>
      </c>
      <c r="AG55" s="15">
        <v>0.23</v>
      </c>
      <c r="AH55" s="1">
        <v>-24.893999999999998</v>
      </c>
      <c r="AI55" s="1">
        <v>7.1999999999999995E-2</v>
      </c>
      <c r="AJ55" s="15">
        <f t="shared" si="48"/>
        <v>0.66499999999999915</v>
      </c>
      <c r="AK55" s="15">
        <f t="shared" si="49"/>
        <v>0.24100622398602076</v>
      </c>
      <c r="AL55" s="15">
        <f t="shared" si="50"/>
        <v>5.8084000000000004E-2</v>
      </c>
      <c r="AM55" s="16">
        <v>-0.87</v>
      </c>
      <c r="AN55" s="20">
        <f t="shared" si="51"/>
        <v>2.3562249999999976</v>
      </c>
      <c r="AO55" s="1"/>
      <c r="BM55" s="18" t="s">
        <v>67</v>
      </c>
      <c r="BN55" s="18"/>
      <c r="BO55" s="18" t="s">
        <v>67</v>
      </c>
    </row>
    <row r="56" spans="10:67">
      <c r="J56" s="46" t="s">
        <v>45</v>
      </c>
      <c r="K56" s="46" t="s">
        <v>46</v>
      </c>
      <c r="L56" s="16" t="s">
        <v>131</v>
      </c>
      <c r="M56" s="46" t="s">
        <v>132</v>
      </c>
      <c r="N56" s="46" t="s">
        <v>141</v>
      </c>
      <c r="O56" s="15">
        <v>48.58</v>
      </c>
      <c r="P56" s="15">
        <v>0.16700000000000001</v>
      </c>
      <c r="Q56" s="15">
        <v>46.384999999999998</v>
      </c>
      <c r="R56" s="15">
        <v>0.113</v>
      </c>
      <c r="S56" s="15">
        <f t="shared" si="41"/>
        <v>2.1950000000000003</v>
      </c>
      <c r="T56" s="15">
        <f t="shared" si="42"/>
        <v>0.20163829001457043</v>
      </c>
      <c r="U56" s="15">
        <f t="shared" si="43"/>
        <v>4.0658000000000014E-2</v>
      </c>
      <c r="V56" s="9">
        <v>1.1100000000000001</v>
      </c>
      <c r="W56" s="20">
        <f t="shared" si="44"/>
        <v>1.1772250000000004</v>
      </c>
      <c r="X56" s="11"/>
      <c r="AA56" s="1" t="s">
        <v>101</v>
      </c>
      <c r="AB56" s="46" t="s">
        <v>70</v>
      </c>
      <c r="AC56" s="25" t="s">
        <v>123</v>
      </c>
      <c r="AD56" s="24" t="s">
        <v>250</v>
      </c>
      <c r="AE56" s="1" t="s">
        <v>251</v>
      </c>
      <c r="AF56" s="15">
        <v>-24.204000000000001</v>
      </c>
      <c r="AG56" s="15">
        <v>0.20200000000000001</v>
      </c>
      <c r="AH56" s="1">
        <v>-24.027000000000001</v>
      </c>
      <c r="AI56" s="1">
        <v>0.24399999999999999</v>
      </c>
      <c r="AJ56" s="15">
        <f t="shared" si="48"/>
        <v>-0.1769999999999996</v>
      </c>
      <c r="AK56" s="15">
        <f t="shared" si="49"/>
        <v>0.3167648970451114</v>
      </c>
      <c r="AL56" s="15">
        <f t="shared" si="50"/>
        <v>0.10034000000000003</v>
      </c>
      <c r="AM56" s="16">
        <v>0.83</v>
      </c>
      <c r="AN56" s="20">
        <f t="shared" si="51"/>
        <v>1.0140489999999993</v>
      </c>
      <c r="AO56" s="1"/>
      <c r="BM56" s="20">
        <f>SUM(BM38:BM54)</f>
        <v>1.0534140000000001</v>
      </c>
      <c r="BN56" s="20"/>
      <c r="BO56" s="20">
        <f>SUM(BO38:BO54)</f>
        <v>12.90514300000002</v>
      </c>
    </row>
    <row r="57" spans="10:67">
      <c r="J57" s="46" t="s">
        <v>45</v>
      </c>
      <c r="K57" s="46" t="s">
        <v>46</v>
      </c>
      <c r="L57" s="16" t="s">
        <v>133</v>
      </c>
      <c r="M57" s="46" t="s">
        <v>53</v>
      </c>
      <c r="N57" s="46" t="s">
        <v>62</v>
      </c>
      <c r="O57" s="15">
        <v>46.439</v>
      </c>
      <c r="P57" s="15">
        <v>0.22900000000000001</v>
      </c>
      <c r="Q57" s="15">
        <v>45.734999999999999</v>
      </c>
      <c r="R57" s="15">
        <v>8.2000000000000003E-2</v>
      </c>
      <c r="S57" s="15">
        <f t="shared" si="41"/>
        <v>0.70400000000000063</v>
      </c>
      <c r="T57" s="15">
        <f t="shared" si="42"/>
        <v>0.24323856602109789</v>
      </c>
      <c r="U57" s="15">
        <f t="shared" si="43"/>
        <v>5.9164999999999995E-2</v>
      </c>
      <c r="V57" s="9">
        <v>0.55000000000000004</v>
      </c>
      <c r="W57" s="20">
        <f t="shared" si="44"/>
        <v>2.3716000000000178E-2</v>
      </c>
      <c r="X57" s="11"/>
      <c r="AA57" s="1"/>
      <c r="AB57" s="1"/>
      <c r="AC57" s="1"/>
      <c r="AD57" s="1"/>
      <c r="AE57" s="1"/>
      <c r="AF57" s="1"/>
      <c r="AG57" s="1"/>
      <c r="AH57" s="1"/>
      <c r="AI57" s="1"/>
      <c r="AJ57" s="1"/>
      <c r="AK57" s="1"/>
      <c r="AL57" s="18" t="s">
        <v>67</v>
      </c>
      <c r="AM57" s="18"/>
      <c r="AN57" s="18" t="s">
        <v>67</v>
      </c>
      <c r="AO57" s="1"/>
      <c r="BM57" s="20"/>
      <c r="BN57" s="20"/>
      <c r="BO57" s="20"/>
    </row>
    <row r="58" spans="10:67">
      <c r="J58" s="46" t="s">
        <v>45</v>
      </c>
      <c r="K58" s="46" t="s">
        <v>46</v>
      </c>
      <c r="L58" s="16" t="s">
        <v>134</v>
      </c>
      <c r="M58" s="46" t="s">
        <v>135</v>
      </c>
      <c r="N58" s="46" t="s">
        <v>142</v>
      </c>
      <c r="O58" s="15">
        <v>46.414999999999999</v>
      </c>
      <c r="P58" s="15">
        <v>9.4E-2</v>
      </c>
      <c r="Q58" s="15">
        <v>46.613</v>
      </c>
      <c r="R58" s="15">
        <v>4.1000000000000002E-2</v>
      </c>
      <c r="S58" s="15">
        <f t="shared" si="41"/>
        <v>-0.1980000000000004</v>
      </c>
      <c r="T58" s="15">
        <f t="shared" si="42"/>
        <v>0.10255242561733974</v>
      </c>
      <c r="U58" s="15">
        <f t="shared" si="43"/>
        <v>1.0517E-2</v>
      </c>
      <c r="V58" s="9">
        <v>0.09</v>
      </c>
      <c r="W58" s="20">
        <f t="shared" si="44"/>
        <v>8.2944000000000212E-2</v>
      </c>
      <c r="X58" s="11"/>
      <c r="AA58" s="1"/>
      <c r="AB58" s="1"/>
      <c r="AC58" s="1"/>
      <c r="AD58" s="1"/>
      <c r="AE58" s="1"/>
      <c r="AF58" s="1"/>
      <c r="AG58" s="1"/>
      <c r="AH58" s="1"/>
      <c r="AI58" s="1"/>
      <c r="AJ58" s="1"/>
      <c r="AK58" s="1"/>
      <c r="AL58" s="20">
        <f>SUM(AL40:AL56)</f>
        <v>1.1932560000000003</v>
      </c>
      <c r="AM58" s="1"/>
      <c r="AN58" s="20">
        <f>SUM(AN40:AN56)</f>
        <v>15.748667000000015</v>
      </c>
      <c r="AO58" s="1"/>
      <c r="BM58" s="20"/>
      <c r="BN58" s="19" t="s">
        <v>68</v>
      </c>
      <c r="BO58" s="20">
        <f>SQRT(BO56/17)</f>
        <v>0.87127840488762864</v>
      </c>
    </row>
    <row r="59" spans="10:67">
      <c r="J59" s="46" t="s">
        <v>45</v>
      </c>
      <c r="K59" s="46" t="s">
        <v>46</v>
      </c>
      <c r="L59" s="16" t="s">
        <v>136</v>
      </c>
      <c r="M59" s="46" t="s">
        <v>137</v>
      </c>
      <c r="N59" s="46" t="s">
        <v>143</v>
      </c>
      <c r="O59" s="15">
        <v>-7.976</v>
      </c>
      <c r="P59" s="15">
        <v>5.8999999999999997E-2</v>
      </c>
      <c r="Q59" s="15">
        <v>-7.2640000000000002</v>
      </c>
      <c r="R59" s="15">
        <v>0.23</v>
      </c>
      <c r="S59" s="15">
        <f t="shared" si="41"/>
        <v>-0.71199999999999974</v>
      </c>
      <c r="T59" s="15">
        <f t="shared" si="42"/>
        <v>0.23744683615495912</v>
      </c>
      <c r="U59" s="15">
        <f t="shared" si="43"/>
        <v>5.6381000000000001E-2</v>
      </c>
      <c r="V59" s="9">
        <v>0.83</v>
      </c>
      <c r="W59" s="20">
        <f t="shared" si="44"/>
        <v>2.3777639999999995</v>
      </c>
      <c r="X59" s="11"/>
      <c r="AA59" s="1"/>
      <c r="AB59" s="1"/>
      <c r="AC59" s="1"/>
      <c r="AD59" s="1"/>
      <c r="AE59" s="1"/>
      <c r="AF59" s="1"/>
      <c r="AG59" s="1"/>
      <c r="AH59" s="1"/>
      <c r="AI59" s="1"/>
      <c r="AJ59" s="1"/>
      <c r="AK59" s="1"/>
      <c r="AL59" s="1"/>
      <c r="AM59" s="1"/>
      <c r="AN59" s="1"/>
      <c r="AO59" s="1"/>
      <c r="BM59" s="20"/>
      <c r="BN59" s="19" t="s">
        <v>40</v>
      </c>
      <c r="BO59" s="20">
        <f>SQRT(BM56/17)</f>
        <v>0.24892876372923381</v>
      </c>
    </row>
    <row r="60" spans="10:67">
      <c r="J60" s="46" t="s">
        <v>45</v>
      </c>
      <c r="K60" s="46" t="s">
        <v>70</v>
      </c>
      <c r="L60" s="16" t="s">
        <v>4</v>
      </c>
      <c r="M60" s="46" t="s">
        <v>245</v>
      </c>
      <c r="N60" s="46" t="s">
        <v>77</v>
      </c>
      <c r="O60" s="15">
        <v>46.284999999999997</v>
      </c>
      <c r="P60" s="15">
        <v>0.13100000000000001</v>
      </c>
      <c r="Q60" s="15">
        <v>46.186</v>
      </c>
      <c r="R60" s="15">
        <v>8.2000000000000003E-2</v>
      </c>
      <c r="S60" s="15">
        <f>(O60-Q60)</f>
        <v>9.8999999999996646E-2</v>
      </c>
      <c r="T60" s="15">
        <f>SQRT((P60)^2 + (R60)^2)</f>
        <v>0.15454772725601629</v>
      </c>
      <c r="U60" s="15">
        <f>T60^2</f>
        <v>2.3885E-2</v>
      </c>
      <c r="V60" s="16">
        <v>-0.22</v>
      </c>
      <c r="W60" s="20">
        <f>(S60-V60)^2</f>
        <v>0.10176099999999784</v>
      </c>
      <c r="X60" s="11"/>
      <c r="AA60" s="1"/>
      <c r="AB60" s="1"/>
      <c r="AC60" s="1"/>
      <c r="AD60" s="1"/>
      <c r="AE60" s="1"/>
      <c r="AF60" s="1"/>
      <c r="AG60" s="1"/>
      <c r="AH60" s="1"/>
      <c r="AI60" s="1"/>
      <c r="AJ60" s="1"/>
      <c r="AK60" s="1"/>
      <c r="AL60" s="1"/>
      <c r="AM60" s="19" t="s">
        <v>68</v>
      </c>
      <c r="AN60" s="1">
        <f>SQRT(AN58/17)</f>
        <v>0.96249268904786445</v>
      </c>
      <c r="AO60" s="1"/>
    </row>
    <row r="61" spans="10:67" ht="17">
      <c r="J61" s="46" t="s">
        <v>45</v>
      </c>
      <c r="K61" s="46" t="s">
        <v>70</v>
      </c>
      <c r="L61" s="16" t="s">
        <v>119</v>
      </c>
      <c r="M61" s="46" t="s">
        <v>246</v>
      </c>
      <c r="N61" s="46" t="s">
        <v>247</v>
      </c>
      <c r="O61" s="15">
        <v>68.379000000000005</v>
      </c>
      <c r="P61" s="15">
        <v>0.13700000000000001</v>
      </c>
      <c r="Q61" s="15">
        <v>68.165000000000006</v>
      </c>
      <c r="R61" s="15">
        <v>0.114</v>
      </c>
      <c r="S61" s="15">
        <f t="shared" ref="S61" si="52">(O61-Q61)</f>
        <v>0.21399999999999864</v>
      </c>
      <c r="T61" s="15">
        <f t="shared" ref="T61" si="53">SQRT((P61)^2 + (R61)^2)</f>
        <v>0.17822738285684386</v>
      </c>
      <c r="U61" s="15">
        <f t="shared" ref="U61" si="54">T61^2</f>
        <v>3.1765000000000002E-2</v>
      </c>
      <c r="V61" s="16">
        <v>0.2</v>
      </c>
      <c r="W61" s="20">
        <f t="shared" ref="W61" si="55">(S61-V61)^2</f>
        <v>1.9599999999996148E-4</v>
      </c>
      <c r="X61" s="11"/>
      <c r="AA61" s="1"/>
      <c r="AB61" s="1"/>
      <c r="AC61" s="1"/>
      <c r="AD61" s="1"/>
      <c r="AE61" s="1"/>
      <c r="AF61" s="1"/>
      <c r="AG61" s="1"/>
      <c r="AH61" s="1"/>
      <c r="AI61" s="1"/>
      <c r="AJ61" s="1"/>
      <c r="AK61" s="1"/>
      <c r="AL61" s="1"/>
      <c r="AM61" s="19" t="s">
        <v>40</v>
      </c>
      <c r="AN61" s="1">
        <f>SQRT(AL58/17)</f>
        <v>0.26493684042006072</v>
      </c>
      <c r="AO61" s="1"/>
      <c r="BB61" s="10" t="s">
        <v>114</v>
      </c>
      <c r="BC61" s="11"/>
      <c r="BD61" s="11"/>
      <c r="BE61" s="11"/>
      <c r="BF61" s="11"/>
      <c r="BG61" s="11"/>
      <c r="BH61" s="11"/>
      <c r="BI61" s="11"/>
      <c r="BJ61" s="11"/>
      <c r="BK61" s="11"/>
      <c r="BL61" s="11"/>
      <c r="BM61" s="11"/>
      <c r="BN61" s="11"/>
      <c r="BO61" s="11"/>
    </row>
    <row r="62" spans="10:67">
      <c r="O62" s="11"/>
      <c r="P62" s="11"/>
      <c r="Q62" s="11"/>
      <c r="R62" s="11"/>
      <c r="S62" s="11"/>
      <c r="T62" s="11"/>
      <c r="U62" s="18" t="s">
        <v>67</v>
      </c>
      <c r="V62" s="18"/>
      <c r="W62" s="18" t="s">
        <v>67</v>
      </c>
      <c r="X62" s="11"/>
      <c r="AA62" s="1"/>
      <c r="AB62" s="1"/>
      <c r="AC62" s="1"/>
      <c r="AD62" s="1"/>
      <c r="AE62" s="1"/>
      <c r="AF62" s="1"/>
      <c r="AG62" s="1"/>
      <c r="AH62" s="1"/>
      <c r="AI62" s="1"/>
      <c r="AJ62" s="1"/>
      <c r="AK62" s="1"/>
      <c r="AL62" s="1"/>
      <c r="AM62" s="1"/>
      <c r="AN62" s="1"/>
      <c r="AO62" s="1"/>
      <c r="BB62" s="12" t="s">
        <v>30</v>
      </c>
      <c r="BC62" s="12" t="s">
        <v>31</v>
      </c>
      <c r="BD62" s="13" t="s">
        <v>32</v>
      </c>
      <c r="BE62" s="12" t="s">
        <v>33</v>
      </c>
      <c r="BF62" s="12" t="s">
        <v>34</v>
      </c>
      <c r="BG62" s="12" t="s">
        <v>35</v>
      </c>
      <c r="BH62" s="12" t="s">
        <v>36</v>
      </c>
      <c r="BI62" s="12" t="s">
        <v>37</v>
      </c>
      <c r="BJ62" s="12" t="s">
        <v>38</v>
      </c>
      <c r="BK62" s="12" t="s">
        <v>39</v>
      </c>
      <c r="BL62" s="14" t="s">
        <v>40</v>
      </c>
      <c r="BM62" s="12" t="s">
        <v>41</v>
      </c>
      <c r="BN62" s="12" t="s">
        <v>42</v>
      </c>
      <c r="BO62" s="12" t="s">
        <v>43</v>
      </c>
    </row>
    <row r="63" spans="10:67">
      <c r="U63" s="11">
        <f>SUM(U52:U61)</f>
        <v>0.53439400000000004</v>
      </c>
      <c r="V63" s="11"/>
      <c r="W63" s="11">
        <f>SUM(W52:W61)</f>
        <v>8.5157729999999905</v>
      </c>
      <c r="AA63" s="1"/>
      <c r="AB63" s="1"/>
      <c r="AC63" s="1"/>
      <c r="AD63" s="1"/>
      <c r="AE63" s="1"/>
      <c r="AF63" s="1"/>
      <c r="AG63" s="1"/>
      <c r="AH63" s="1"/>
      <c r="AI63" s="1"/>
      <c r="AJ63" s="1"/>
      <c r="AK63" s="1"/>
      <c r="AL63" s="1"/>
      <c r="AM63" s="1"/>
      <c r="AN63" s="1"/>
      <c r="AO63" s="1"/>
      <c r="BB63" s="1" t="s">
        <v>101</v>
      </c>
      <c r="BC63" s="46" t="s">
        <v>46</v>
      </c>
      <c r="BD63" s="16" t="s">
        <v>11</v>
      </c>
      <c r="BE63" s="3" t="s">
        <v>84</v>
      </c>
      <c r="BF63" s="1" t="s">
        <v>90</v>
      </c>
      <c r="BG63" s="15">
        <v>-41.031999999999996</v>
      </c>
      <c r="BH63" s="15">
        <v>0.35899999999999999</v>
      </c>
      <c r="BI63" s="15">
        <v>-42.084000000000003</v>
      </c>
      <c r="BJ63" s="15">
        <v>0.17699999999999999</v>
      </c>
      <c r="BK63" s="20">
        <f t="shared" ref="BK63:BK73" si="56">(BG63-BI63)</f>
        <v>1.0520000000000067</v>
      </c>
      <c r="BL63" s="20">
        <f t="shared" ref="BL63:BL73" si="57">SQRT((BH63)^2 + (BJ63)^2)</f>
        <v>0.40026241392366585</v>
      </c>
      <c r="BM63" s="20">
        <f t="shared" ref="BM63:BM73" si="58">BL63^2</f>
        <v>0.16021000000000002</v>
      </c>
      <c r="BN63" s="9">
        <v>1.33</v>
      </c>
      <c r="BO63" s="20">
        <f t="shared" ref="BO63:BO73" si="59">(BK63-BN63)^2</f>
        <v>7.7283999999996314E-2</v>
      </c>
    </row>
    <row r="64" spans="10:67">
      <c r="U64" s="11"/>
      <c r="V64" s="11"/>
      <c r="W64" s="11"/>
      <c r="AA64" s="1"/>
      <c r="AB64" s="1"/>
      <c r="AC64" s="1"/>
      <c r="AD64" s="1"/>
      <c r="AE64" s="1"/>
      <c r="AF64" s="1"/>
      <c r="AG64" s="1"/>
      <c r="AH64" s="1"/>
      <c r="AI64" s="1"/>
      <c r="AJ64" s="1"/>
      <c r="AK64" s="1"/>
      <c r="AL64" s="1"/>
      <c r="AM64" s="1"/>
      <c r="AN64" s="1"/>
      <c r="AO64" s="1"/>
      <c r="BB64" s="1" t="s">
        <v>101</v>
      </c>
      <c r="BC64" s="46" t="s">
        <v>46</v>
      </c>
      <c r="BD64" s="16" t="s">
        <v>121</v>
      </c>
      <c r="BE64" s="3" t="s">
        <v>122</v>
      </c>
      <c r="BF64" s="1" t="s">
        <v>140</v>
      </c>
      <c r="BG64" s="15">
        <v>5.74</v>
      </c>
      <c r="BH64" s="15">
        <v>0.311</v>
      </c>
      <c r="BI64" s="15">
        <v>5.9009999999999998</v>
      </c>
      <c r="BJ64" s="15">
        <v>5.7000000000000002E-2</v>
      </c>
      <c r="BK64" s="20">
        <f t="shared" si="56"/>
        <v>-0.16099999999999959</v>
      </c>
      <c r="BL64" s="20">
        <f t="shared" si="57"/>
        <v>0.3161803282938393</v>
      </c>
      <c r="BM64" s="20">
        <f t="shared" si="58"/>
        <v>9.9969999999999989E-2</v>
      </c>
      <c r="BN64" s="9">
        <v>0.05</v>
      </c>
      <c r="BO64" s="20">
        <f t="shared" si="59"/>
        <v>4.4520999999999825E-2</v>
      </c>
    </row>
    <row r="65" spans="21:67">
      <c r="U65" s="11"/>
      <c r="V65" s="19" t="s">
        <v>68</v>
      </c>
      <c r="W65" s="11">
        <f>SQRT(W63/10)</f>
        <v>0.92280946028960875</v>
      </c>
      <c r="AA65" s="1"/>
      <c r="AB65" s="1"/>
      <c r="AC65" s="1"/>
      <c r="AD65" s="1"/>
      <c r="AE65" s="1"/>
      <c r="AF65" s="1"/>
      <c r="AG65" s="1"/>
      <c r="AH65" s="1"/>
      <c r="AI65" s="1"/>
      <c r="AJ65" s="1"/>
      <c r="AK65" s="1"/>
      <c r="AL65" s="1"/>
      <c r="AM65" s="1"/>
      <c r="AN65" s="1"/>
      <c r="AO65" s="1"/>
      <c r="BB65" s="1" t="s">
        <v>101</v>
      </c>
      <c r="BC65" s="46" t="s">
        <v>46</v>
      </c>
      <c r="BD65" s="16" t="s">
        <v>124</v>
      </c>
      <c r="BE65" s="3" t="s">
        <v>125</v>
      </c>
      <c r="BF65" s="1" t="s">
        <v>58</v>
      </c>
      <c r="BG65" s="1">
        <v>-41.08</v>
      </c>
      <c r="BH65" s="1">
        <v>0.3</v>
      </c>
      <c r="BI65" s="15">
        <v>-42.408000000000001</v>
      </c>
      <c r="BJ65" s="15">
        <v>7.2999999999999995E-2</v>
      </c>
      <c r="BK65" s="20">
        <f t="shared" si="56"/>
        <v>1.328000000000003</v>
      </c>
      <c r="BL65" s="20">
        <f t="shared" si="57"/>
        <v>0.30875394734318784</v>
      </c>
      <c r="BM65" s="20">
        <f t="shared" si="58"/>
        <v>9.5329000000000011E-2</v>
      </c>
      <c r="BN65" s="9">
        <v>0.76</v>
      </c>
      <c r="BO65" s="20">
        <f t="shared" si="59"/>
        <v>0.32262400000000335</v>
      </c>
    </row>
    <row r="66" spans="21:67" ht="17">
      <c r="U66" s="11"/>
      <c r="V66" s="19" t="s">
        <v>40</v>
      </c>
      <c r="W66" s="11">
        <f>SQRT(U63/10)</f>
        <v>0.23116963468414273</v>
      </c>
      <c r="AA66" s="10" t="s">
        <v>157</v>
      </c>
      <c r="AB66" s="1"/>
      <c r="AC66" s="1"/>
      <c r="AD66" s="1"/>
      <c r="AE66" s="1"/>
      <c r="AF66" s="1"/>
      <c r="AG66" s="1"/>
      <c r="AH66" s="1"/>
      <c r="AI66" s="1"/>
      <c r="AJ66" s="1"/>
      <c r="AK66" s="1"/>
      <c r="AL66" s="1"/>
      <c r="AM66" s="1"/>
      <c r="AN66" s="1"/>
      <c r="BB66" s="1" t="s">
        <v>101</v>
      </c>
      <c r="BC66" s="46" t="s">
        <v>46</v>
      </c>
      <c r="BD66" s="16" t="s">
        <v>126</v>
      </c>
      <c r="BE66" s="3" t="s">
        <v>50</v>
      </c>
      <c r="BF66" s="1" t="s">
        <v>59</v>
      </c>
      <c r="BG66" s="15">
        <v>15.252000000000001</v>
      </c>
      <c r="BH66" s="15">
        <v>0.17299999999999999</v>
      </c>
      <c r="BI66" s="1">
        <v>13.148999999999999</v>
      </c>
      <c r="BJ66" s="1">
        <v>0.11600000000000001</v>
      </c>
      <c r="BK66" s="20">
        <f t="shared" si="56"/>
        <v>2.1030000000000015</v>
      </c>
      <c r="BL66" s="20">
        <f t="shared" si="57"/>
        <v>0.20829066229670498</v>
      </c>
      <c r="BM66" s="20">
        <f t="shared" si="58"/>
        <v>4.3385E-2</v>
      </c>
      <c r="BN66" s="9">
        <v>0.35</v>
      </c>
      <c r="BO66" s="20">
        <f t="shared" si="59"/>
        <v>3.0730090000000052</v>
      </c>
    </row>
    <row r="67" spans="21:67">
      <c r="U67" s="11"/>
      <c r="V67" s="11"/>
      <c r="W67" s="11"/>
      <c r="AA67" s="12" t="s">
        <v>30</v>
      </c>
      <c r="AB67" s="12" t="s">
        <v>31</v>
      </c>
      <c r="AC67" s="13" t="s">
        <v>32</v>
      </c>
      <c r="AD67" s="12" t="s">
        <v>33</v>
      </c>
      <c r="AE67" s="12" t="s">
        <v>34</v>
      </c>
      <c r="AF67" s="12" t="s">
        <v>35</v>
      </c>
      <c r="AG67" s="12" t="s">
        <v>36</v>
      </c>
      <c r="AH67" s="12" t="s">
        <v>37</v>
      </c>
      <c r="AI67" s="12" t="s">
        <v>38</v>
      </c>
      <c r="AJ67" s="12" t="s">
        <v>39</v>
      </c>
      <c r="AK67" s="14" t="s">
        <v>40</v>
      </c>
      <c r="AL67" s="12" t="s">
        <v>41</v>
      </c>
      <c r="AM67" s="12" t="s">
        <v>42</v>
      </c>
      <c r="AN67" s="12" t="s">
        <v>43</v>
      </c>
      <c r="BB67" s="1" t="s">
        <v>101</v>
      </c>
      <c r="BC67" s="46" t="s">
        <v>46</v>
      </c>
      <c r="BD67" s="16" t="s">
        <v>127</v>
      </c>
      <c r="BE67" s="3" t="s">
        <v>51</v>
      </c>
      <c r="BF67" s="1" t="s">
        <v>60</v>
      </c>
      <c r="BG67" s="15">
        <v>-5.1340000000000003</v>
      </c>
      <c r="BH67" s="15">
        <v>0.223</v>
      </c>
      <c r="BI67" s="15">
        <v>-6.1769999999999996</v>
      </c>
      <c r="BJ67" s="15">
        <v>6.5000000000000002E-2</v>
      </c>
      <c r="BK67" s="20">
        <f t="shared" si="56"/>
        <v>1.0429999999999993</v>
      </c>
      <c r="BL67" s="20">
        <f t="shared" si="57"/>
        <v>0.23228000344411914</v>
      </c>
      <c r="BM67" s="20">
        <f t="shared" si="58"/>
        <v>5.3954000000000002E-2</v>
      </c>
      <c r="BN67" s="9">
        <v>1.25</v>
      </c>
      <c r="BO67" s="20">
        <f t="shared" si="59"/>
        <v>4.2849000000000304E-2</v>
      </c>
    </row>
    <row r="68" spans="21:67">
      <c r="U68" s="11"/>
      <c r="V68" s="11"/>
      <c r="W68" s="11"/>
      <c r="AA68" s="1" t="s">
        <v>101</v>
      </c>
      <c r="AB68" s="46" t="s">
        <v>46</v>
      </c>
      <c r="AC68" s="16" t="s">
        <v>11</v>
      </c>
      <c r="AD68" s="3" t="s">
        <v>84</v>
      </c>
      <c r="AE68" s="1" t="s">
        <v>90</v>
      </c>
      <c r="AF68" s="15">
        <v>-41.031999999999996</v>
      </c>
      <c r="AG68" s="15">
        <v>0.35899999999999999</v>
      </c>
      <c r="AH68" s="15">
        <v>-42.084000000000003</v>
      </c>
      <c r="AI68" s="15">
        <v>0.17699999999999999</v>
      </c>
      <c r="AJ68" s="20">
        <f t="shared" ref="AJ68:AJ78" si="60">(AF68-AH68)</f>
        <v>1.0520000000000067</v>
      </c>
      <c r="AK68" s="20">
        <f t="shared" ref="AK68:AK78" si="61">SQRT((AG68)^2 + (AI68)^2)</f>
        <v>0.40026241392366585</v>
      </c>
      <c r="AL68" s="20">
        <f t="shared" ref="AL68:AL78" si="62">AK68^2</f>
        <v>0.16021000000000002</v>
      </c>
      <c r="AM68" s="9">
        <v>1.33</v>
      </c>
      <c r="AN68" s="20">
        <f t="shared" ref="AN68:AN78" si="63">(AJ68-AM68)^2</f>
        <v>7.7283999999996314E-2</v>
      </c>
      <c r="BB68" s="1" t="s">
        <v>101</v>
      </c>
      <c r="BC68" s="46" t="s">
        <v>46</v>
      </c>
      <c r="BD68" s="16" t="s">
        <v>128</v>
      </c>
      <c r="BE68" s="3" t="s">
        <v>129</v>
      </c>
      <c r="BF68" s="1" t="s">
        <v>61</v>
      </c>
      <c r="BG68" s="15">
        <v>-5.8659999999999997</v>
      </c>
      <c r="BH68" s="15">
        <v>6.5000000000000002E-2</v>
      </c>
      <c r="BI68" s="15">
        <v>-6.9390000000000001</v>
      </c>
      <c r="BJ68" s="15">
        <v>2.8000000000000001E-2</v>
      </c>
      <c r="BK68" s="20">
        <f t="shared" si="56"/>
        <v>1.0730000000000004</v>
      </c>
      <c r="BL68" s="20">
        <f t="shared" si="57"/>
        <v>7.0774289116881994E-2</v>
      </c>
      <c r="BM68" s="20">
        <f t="shared" si="58"/>
        <v>5.0090000000000013E-3</v>
      </c>
      <c r="BN68" s="9">
        <v>1.1499999999999999</v>
      </c>
      <c r="BO68" s="20">
        <f t="shared" si="59"/>
        <v>5.9289999999999248E-3</v>
      </c>
    </row>
    <row r="69" spans="21:67">
      <c r="U69" s="11"/>
      <c r="V69" s="11"/>
      <c r="W69" s="11"/>
      <c r="AA69" s="1" t="s">
        <v>235</v>
      </c>
      <c r="AB69" s="46" t="s">
        <v>46</v>
      </c>
      <c r="AC69" s="16" t="s">
        <v>121</v>
      </c>
      <c r="AD69" s="3" t="s">
        <v>122</v>
      </c>
      <c r="AE69" s="1" t="s">
        <v>140</v>
      </c>
      <c r="AF69" s="15">
        <v>5.931</v>
      </c>
      <c r="AG69" s="15">
        <v>0.36099999999999999</v>
      </c>
      <c r="AH69" s="15">
        <v>6.2450000000000001</v>
      </c>
      <c r="AI69" s="15">
        <v>0.11700000000000001</v>
      </c>
      <c r="AJ69" s="20">
        <f t="shared" si="60"/>
        <v>-0.31400000000000006</v>
      </c>
      <c r="AK69" s="20">
        <f t="shared" si="61"/>
        <v>0.37948649514837812</v>
      </c>
      <c r="AL69" s="20">
        <f t="shared" si="62"/>
        <v>0.14401</v>
      </c>
      <c r="AM69" s="9">
        <v>0.05</v>
      </c>
      <c r="AN69" s="20">
        <f t="shared" si="63"/>
        <v>0.13249600000000003</v>
      </c>
      <c r="BB69" s="1" t="s">
        <v>101</v>
      </c>
      <c r="BC69" s="46" t="s">
        <v>46</v>
      </c>
      <c r="BD69" s="16" t="s">
        <v>130</v>
      </c>
      <c r="BE69" s="3" t="s">
        <v>85</v>
      </c>
      <c r="BF69" s="1" t="s">
        <v>91</v>
      </c>
      <c r="BG69" s="15">
        <v>-6.25</v>
      </c>
      <c r="BH69" s="15">
        <v>0.32100000000000001</v>
      </c>
      <c r="BI69" s="15">
        <v>-6.1029999999999998</v>
      </c>
      <c r="BJ69" s="15">
        <v>0.13400000000000001</v>
      </c>
      <c r="BK69" s="20">
        <f t="shared" si="56"/>
        <v>-0.14700000000000024</v>
      </c>
      <c r="BL69" s="20">
        <f t="shared" si="57"/>
        <v>0.34784623039498358</v>
      </c>
      <c r="BM69" s="20">
        <f t="shared" si="58"/>
        <v>0.12099699999999999</v>
      </c>
      <c r="BN69" s="9">
        <v>0.86</v>
      </c>
      <c r="BO69" s="20">
        <f t="shared" si="59"/>
        <v>1.0140490000000002</v>
      </c>
    </row>
    <row r="70" spans="21:67">
      <c r="AA70" s="1" t="s">
        <v>101</v>
      </c>
      <c r="AB70" s="46" t="s">
        <v>46</v>
      </c>
      <c r="AC70" s="16" t="s">
        <v>124</v>
      </c>
      <c r="AD70" s="3" t="s">
        <v>125</v>
      </c>
      <c r="AE70" s="1" t="s">
        <v>58</v>
      </c>
      <c r="AF70" s="1">
        <v>-41.08</v>
      </c>
      <c r="AG70" s="1">
        <v>0.3</v>
      </c>
      <c r="AH70" s="15">
        <v>-42.408000000000001</v>
      </c>
      <c r="AI70" s="15">
        <v>7.2999999999999995E-2</v>
      </c>
      <c r="AJ70" s="20">
        <f t="shared" si="60"/>
        <v>1.328000000000003</v>
      </c>
      <c r="AK70" s="20">
        <f t="shared" si="61"/>
        <v>0.30875394734318784</v>
      </c>
      <c r="AL70" s="20">
        <f t="shared" si="62"/>
        <v>9.5329000000000011E-2</v>
      </c>
      <c r="AM70" s="9">
        <v>0.76</v>
      </c>
      <c r="AN70" s="20">
        <f t="shared" si="63"/>
        <v>0.32262400000000335</v>
      </c>
      <c r="BB70" s="1" t="s">
        <v>101</v>
      </c>
      <c r="BC70" s="46" t="s">
        <v>46</v>
      </c>
      <c r="BD70" s="16" t="s">
        <v>131</v>
      </c>
      <c r="BE70" s="3" t="s">
        <v>132</v>
      </c>
      <c r="BF70" s="1" t="s">
        <v>141</v>
      </c>
      <c r="BG70" s="15">
        <v>46.78</v>
      </c>
      <c r="BH70" s="15">
        <v>0.189</v>
      </c>
      <c r="BI70" s="15">
        <v>46.335999999999999</v>
      </c>
      <c r="BJ70" s="15">
        <v>2.1999999999999999E-2</v>
      </c>
      <c r="BK70" s="20">
        <f t="shared" si="56"/>
        <v>0.44400000000000261</v>
      </c>
      <c r="BL70" s="20">
        <f t="shared" si="57"/>
        <v>0.19027611515899731</v>
      </c>
      <c r="BM70" s="20">
        <f t="shared" si="58"/>
        <v>3.6205000000000008E-2</v>
      </c>
      <c r="BN70" s="9">
        <v>1.1100000000000001</v>
      </c>
      <c r="BO70" s="20">
        <f t="shared" si="59"/>
        <v>0.44355599999999662</v>
      </c>
    </row>
    <row r="71" spans="21:67">
      <c r="AA71" s="1" t="s">
        <v>235</v>
      </c>
      <c r="AB71" s="46" t="s">
        <v>46</v>
      </c>
      <c r="AC71" s="16" t="s">
        <v>126</v>
      </c>
      <c r="AD71" s="3" t="s">
        <v>50</v>
      </c>
      <c r="AE71" s="1" t="s">
        <v>59</v>
      </c>
      <c r="AF71" s="15">
        <v>15.148</v>
      </c>
      <c r="AG71" s="15">
        <v>0.10299999999999999</v>
      </c>
      <c r="AH71" s="1">
        <v>13.061</v>
      </c>
      <c r="AI71" s="1">
        <v>0.09</v>
      </c>
      <c r="AJ71" s="20">
        <f t="shared" si="60"/>
        <v>2.0869999999999997</v>
      </c>
      <c r="AK71" s="20">
        <f t="shared" si="61"/>
        <v>0.1367808466123821</v>
      </c>
      <c r="AL71" s="20">
        <f t="shared" si="62"/>
        <v>1.8709E-2</v>
      </c>
      <c r="AM71" s="9">
        <v>0.35</v>
      </c>
      <c r="AN71" s="20">
        <f t="shared" si="63"/>
        <v>3.0171689999999987</v>
      </c>
      <c r="BB71" s="1" t="s">
        <v>101</v>
      </c>
      <c r="BC71" s="46" t="s">
        <v>46</v>
      </c>
      <c r="BD71" s="16" t="s">
        <v>133</v>
      </c>
      <c r="BE71" s="3" t="s">
        <v>53</v>
      </c>
      <c r="BF71" s="1" t="s">
        <v>62</v>
      </c>
      <c r="BG71" s="15">
        <v>46.156999999999996</v>
      </c>
      <c r="BH71" s="15">
        <v>0.13</v>
      </c>
      <c r="BI71" s="15">
        <v>46.040999999999997</v>
      </c>
      <c r="BJ71" s="15">
        <v>4.1000000000000002E-2</v>
      </c>
      <c r="BK71" s="20">
        <f t="shared" si="56"/>
        <v>0.11599999999999966</v>
      </c>
      <c r="BL71" s="20">
        <f t="shared" si="57"/>
        <v>0.13631214179228496</v>
      </c>
      <c r="BM71" s="20">
        <f t="shared" si="58"/>
        <v>1.8581E-2</v>
      </c>
      <c r="BN71" s="9">
        <v>0.55000000000000004</v>
      </c>
      <c r="BO71" s="20">
        <f t="shared" si="59"/>
        <v>0.18835600000000033</v>
      </c>
    </row>
    <row r="72" spans="21:67">
      <c r="AA72" s="1" t="s">
        <v>235</v>
      </c>
      <c r="AB72" s="46" t="s">
        <v>46</v>
      </c>
      <c r="AC72" s="16" t="s">
        <v>127</v>
      </c>
      <c r="AD72" s="3" t="s">
        <v>51</v>
      </c>
      <c r="AE72" s="1" t="s">
        <v>60</v>
      </c>
      <c r="AF72" s="15">
        <v>-4.5380000000000003</v>
      </c>
      <c r="AG72" s="15">
        <v>0.28499999999999998</v>
      </c>
      <c r="AH72" s="15">
        <v>-6.1989999999999998</v>
      </c>
      <c r="AI72" s="15">
        <v>6.5000000000000002E-2</v>
      </c>
      <c r="AJ72" s="20">
        <f t="shared" si="60"/>
        <v>1.6609999999999996</v>
      </c>
      <c r="AK72" s="20">
        <f t="shared" si="61"/>
        <v>0.29231831964486932</v>
      </c>
      <c r="AL72" s="20">
        <f t="shared" si="62"/>
        <v>8.5449999999999998E-2</v>
      </c>
      <c r="AM72" s="9">
        <v>1.25</v>
      </c>
      <c r="AN72" s="20">
        <f t="shared" si="63"/>
        <v>0.16892099999999965</v>
      </c>
      <c r="BB72" s="1" t="s">
        <v>101</v>
      </c>
      <c r="BC72" s="46" t="s">
        <v>46</v>
      </c>
      <c r="BD72" s="16" t="s">
        <v>134</v>
      </c>
      <c r="BE72" s="3" t="s">
        <v>135</v>
      </c>
      <c r="BF72" s="1" t="s">
        <v>142</v>
      </c>
      <c r="BG72" s="15">
        <v>46.546999999999997</v>
      </c>
      <c r="BH72" s="15">
        <v>7.0000000000000007E-2</v>
      </c>
      <c r="BI72" s="15">
        <v>46.643999999999998</v>
      </c>
      <c r="BJ72" s="15">
        <v>2.7E-2</v>
      </c>
      <c r="BK72" s="20">
        <f t="shared" si="56"/>
        <v>-9.7000000000001307E-2</v>
      </c>
      <c r="BL72" s="20">
        <f t="shared" si="57"/>
        <v>7.5026661927610774E-2</v>
      </c>
      <c r="BM72" s="20">
        <f t="shared" si="58"/>
        <v>5.6290000000000003E-3</v>
      </c>
      <c r="BN72" s="9">
        <v>0.09</v>
      </c>
      <c r="BO72" s="20">
        <f t="shared" si="59"/>
        <v>3.4969000000000486E-2</v>
      </c>
    </row>
    <row r="73" spans="21:67">
      <c r="AA73" s="1" t="s">
        <v>235</v>
      </c>
      <c r="AB73" s="46" t="s">
        <v>46</v>
      </c>
      <c r="AC73" s="16" t="s">
        <v>128</v>
      </c>
      <c r="AD73" s="3" t="s">
        <v>129</v>
      </c>
      <c r="AE73" s="1" t="s">
        <v>61</v>
      </c>
      <c r="AF73" s="15">
        <v>-5.7709999999999999</v>
      </c>
      <c r="AG73" s="15">
        <v>7.6999999999999999E-2</v>
      </c>
      <c r="AH73" s="15">
        <v>-6.8360000000000003</v>
      </c>
      <c r="AI73" s="15">
        <v>1.9E-2</v>
      </c>
      <c r="AJ73" s="20">
        <f t="shared" si="60"/>
        <v>1.0650000000000004</v>
      </c>
      <c r="AK73" s="20">
        <f t="shared" si="61"/>
        <v>7.9309520235593414E-2</v>
      </c>
      <c r="AL73" s="20">
        <f t="shared" si="62"/>
        <v>6.2900000000000013E-3</v>
      </c>
      <c r="AM73" s="9">
        <v>1.1499999999999999</v>
      </c>
      <c r="AN73" s="20">
        <f t="shared" si="63"/>
        <v>7.2249999999999181E-3</v>
      </c>
      <c r="BB73" s="1" t="s">
        <v>101</v>
      </c>
      <c r="BC73" s="46" t="s">
        <v>46</v>
      </c>
      <c r="BD73" s="16" t="s">
        <v>136</v>
      </c>
      <c r="BE73" s="3" t="s">
        <v>137</v>
      </c>
      <c r="BF73" s="1" t="s">
        <v>143</v>
      </c>
      <c r="BG73" s="15">
        <v>-8.5679999999999996</v>
      </c>
      <c r="BH73" s="15">
        <v>0.121</v>
      </c>
      <c r="BI73" s="15">
        <v>-8.1649999999999991</v>
      </c>
      <c r="BJ73" s="15">
        <v>6.6000000000000003E-2</v>
      </c>
      <c r="BK73" s="20">
        <f t="shared" si="56"/>
        <v>-0.40300000000000047</v>
      </c>
      <c r="BL73" s="20">
        <f t="shared" si="57"/>
        <v>0.13782960494755833</v>
      </c>
      <c r="BM73" s="20">
        <f t="shared" si="58"/>
        <v>1.8996999999999997E-2</v>
      </c>
      <c r="BN73" s="9">
        <v>0.83</v>
      </c>
      <c r="BO73" s="20">
        <f t="shared" si="59"/>
        <v>1.5202890000000013</v>
      </c>
    </row>
    <row r="74" spans="21:67">
      <c r="AA74" s="1" t="s">
        <v>256</v>
      </c>
      <c r="AB74" s="46" t="s">
        <v>46</v>
      </c>
      <c r="AC74" s="16" t="s">
        <v>130</v>
      </c>
      <c r="AD74" s="3" t="s">
        <v>85</v>
      </c>
      <c r="AE74" s="1" t="s">
        <v>91</v>
      </c>
      <c r="AF74" s="15">
        <v>-6.25</v>
      </c>
      <c r="AG74" s="15">
        <v>0.32100000000000001</v>
      </c>
      <c r="AH74" s="15">
        <v>-6.1029999999999998</v>
      </c>
      <c r="AI74" s="15">
        <v>0.13400000000000001</v>
      </c>
      <c r="AJ74" s="20">
        <f t="shared" si="60"/>
        <v>-0.14700000000000024</v>
      </c>
      <c r="AK74" s="20">
        <f t="shared" si="61"/>
        <v>0.34784623039498358</v>
      </c>
      <c r="AL74" s="20">
        <f t="shared" si="62"/>
        <v>0.12099699999999999</v>
      </c>
      <c r="AM74" s="9">
        <v>0.86</v>
      </c>
      <c r="AN74" s="20">
        <f t="shared" si="63"/>
        <v>1.0140490000000002</v>
      </c>
      <c r="BB74" s="1" t="s">
        <v>101</v>
      </c>
      <c r="BC74" s="46" t="s">
        <v>70</v>
      </c>
      <c r="BD74" s="16" t="s">
        <v>4</v>
      </c>
      <c r="BE74" s="16" t="s">
        <v>245</v>
      </c>
      <c r="BF74" s="1" t="s">
        <v>77</v>
      </c>
      <c r="BG74" s="15">
        <v>46.182000000000002</v>
      </c>
      <c r="BH74" s="15">
        <v>0.13100000000000001</v>
      </c>
      <c r="BI74" s="15">
        <v>46.055</v>
      </c>
      <c r="BJ74" s="15">
        <v>1.7999999999999999E-2</v>
      </c>
      <c r="BK74" s="15">
        <v>0.127</v>
      </c>
      <c r="BL74" s="15">
        <v>0.131837021</v>
      </c>
      <c r="BM74" s="15">
        <v>1.7381000000000001E-2</v>
      </c>
      <c r="BN74" s="16">
        <v>-0.22</v>
      </c>
      <c r="BO74" s="20">
        <f>(BK74-BN74)^2</f>
        <v>0.12040899999999999</v>
      </c>
    </row>
    <row r="75" spans="21:67">
      <c r="AA75" s="1" t="s">
        <v>235</v>
      </c>
      <c r="AB75" s="46" t="s">
        <v>46</v>
      </c>
      <c r="AC75" s="16" t="s">
        <v>131</v>
      </c>
      <c r="AD75" s="3" t="s">
        <v>132</v>
      </c>
      <c r="AE75" s="1" t="s">
        <v>141</v>
      </c>
      <c r="AF75" s="1">
        <v>46.613999999999997</v>
      </c>
      <c r="AG75" s="1">
        <v>0.17299999999999999</v>
      </c>
      <c r="AH75" s="15">
        <v>46.436999999999998</v>
      </c>
      <c r="AI75" s="15">
        <v>0.04</v>
      </c>
      <c r="AJ75" s="20">
        <f t="shared" si="60"/>
        <v>0.1769999999999996</v>
      </c>
      <c r="AK75" s="20">
        <f t="shared" si="61"/>
        <v>0.1775640729426986</v>
      </c>
      <c r="AL75" s="20">
        <f t="shared" si="62"/>
        <v>3.1528999999999988E-2</v>
      </c>
      <c r="AM75" s="9">
        <v>1.1100000000000001</v>
      </c>
      <c r="AN75" s="20">
        <f t="shared" si="63"/>
        <v>0.87048900000000096</v>
      </c>
      <c r="BB75" s="1" t="s">
        <v>101</v>
      </c>
      <c r="BC75" s="46" t="s">
        <v>70</v>
      </c>
      <c r="BD75" s="16" t="s">
        <v>119</v>
      </c>
      <c r="BE75" s="16" t="s">
        <v>246</v>
      </c>
      <c r="BF75" s="1" t="s">
        <v>247</v>
      </c>
      <c r="BG75" s="15">
        <v>68.605000000000004</v>
      </c>
      <c r="BH75" s="15">
        <v>3.5000000000000003E-2</v>
      </c>
      <c r="BI75" s="15">
        <v>68.305000000000007</v>
      </c>
      <c r="BJ75" s="15">
        <v>4.7E-2</v>
      </c>
      <c r="BK75" s="15">
        <v>0.3</v>
      </c>
      <c r="BL75" s="15">
        <v>5.8523499999999999E-2</v>
      </c>
      <c r="BM75" s="15">
        <v>3.4250000000000001E-3</v>
      </c>
      <c r="BN75" s="16">
        <v>0.2</v>
      </c>
      <c r="BO75" s="20">
        <f t="shared" ref="BO75" si="64">(BK75-BN75)^2</f>
        <v>9.999999999999995E-3</v>
      </c>
    </row>
    <row r="76" spans="21:67">
      <c r="AA76" s="1" t="s">
        <v>235</v>
      </c>
      <c r="AB76" s="46" t="s">
        <v>46</v>
      </c>
      <c r="AC76" s="16" t="s">
        <v>133</v>
      </c>
      <c r="AD76" s="3" t="s">
        <v>53</v>
      </c>
      <c r="AE76" s="1" t="s">
        <v>62</v>
      </c>
      <c r="AF76" s="15">
        <v>46.369</v>
      </c>
      <c r="AG76" s="15">
        <v>0.26700000000000002</v>
      </c>
      <c r="AH76" s="15">
        <v>46.024000000000001</v>
      </c>
      <c r="AI76" s="15">
        <v>0.108</v>
      </c>
      <c r="AJ76" s="20">
        <f t="shared" si="60"/>
        <v>0.34499999999999886</v>
      </c>
      <c r="AK76" s="20">
        <f t="shared" si="61"/>
        <v>0.28801562457616775</v>
      </c>
      <c r="AL76" s="20">
        <f t="shared" si="62"/>
        <v>8.2952999999999999E-2</v>
      </c>
      <c r="AM76" s="9">
        <v>0.55000000000000004</v>
      </c>
      <c r="AN76" s="20">
        <f t="shared" si="63"/>
        <v>4.2025000000000486E-2</v>
      </c>
      <c r="BM76" s="18" t="s">
        <v>67</v>
      </c>
      <c r="BN76" s="18"/>
      <c r="BO76" s="18" t="s">
        <v>67</v>
      </c>
    </row>
    <row r="77" spans="21:67">
      <c r="AA77" s="1" t="s">
        <v>235</v>
      </c>
      <c r="AB77" s="46" t="s">
        <v>46</v>
      </c>
      <c r="AC77" s="16" t="s">
        <v>134</v>
      </c>
      <c r="AD77" s="3" t="s">
        <v>135</v>
      </c>
      <c r="AE77" s="1" t="s">
        <v>142</v>
      </c>
      <c r="AF77" s="15">
        <v>46.584000000000003</v>
      </c>
      <c r="AG77" s="15">
        <v>4.8000000000000001E-2</v>
      </c>
      <c r="AH77" s="15">
        <v>46.661000000000001</v>
      </c>
      <c r="AI77" s="15">
        <v>5.7000000000000002E-2</v>
      </c>
      <c r="AJ77" s="20">
        <f t="shared" si="60"/>
        <v>-7.6999999999998181E-2</v>
      </c>
      <c r="AK77" s="20">
        <f t="shared" si="61"/>
        <v>7.4518454090245323E-2</v>
      </c>
      <c r="AL77" s="20">
        <f t="shared" si="62"/>
        <v>5.5529999999999998E-3</v>
      </c>
      <c r="AM77" s="9">
        <v>0.09</v>
      </c>
      <c r="AN77" s="20">
        <f t="shared" si="63"/>
        <v>2.788899999999939E-2</v>
      </c>
      <c r="BM77" s="20">
        <f>SUM(BM63:BM75)</f>
        <v>0.67907200000000001</v>
      </c>
      <c r="BN77" s="20"/>
      <c r="BO77" s="20">
        <f>SUM(BO63:BO75)</f>
        <v>6.8978440000000045</v>
      </c>
    </row>
    <row r="78" spans="21:67">
      <c r="AA78" s="1" t="s">
        <v>235</v>
      </c>
      <c r="AB78" s="46" t="s">
        <v>46</v>
      </c>
      <c r="AC78" s="16" t="s">
        <v>136</v>
      </c>
      <c r="AD78" s="3" t="s">
        <v>137</v>
      </c>
      <c r="AE78" s="1" t="s">
        <v>143</v>
      </c>
      <c r="AF78" s="15">
        <v>-8.8450000000000006</v>
      </c>
      <c r="AG78" s="15">
        <v>0.106</v>
      </c>
      <c r="AH78" s="15">
        <v>-7.7030000000000003</v>
      </c>
      <c r="AI78" s="15">
        <v>0.193</v>
      </c>
      <c r="AJ78" s="20">
        <f t="shared" si="60"/>
        <v>-1.1420000000000003</v>
      </c>
      <c r="AK78" s="20">
        <f t="shared" si="61"/>
        <v>0.22019309707617993</v>
      </c>
      <c r="AL78" s="20">
        <f t="shared" si="62"/>
        <v>4.8485E-2</v>
      </c>
      <c r="AM78" s="9">
        <v>0.83</v>
      </c>
      <c r="AN78" s="20">
        <f t="shared" si="63"/>
        <v>3.8887840000000016</v>
      </c>
      <c r="BM78" s="20"/>
      <c r="BN78" s="20"/>
      <c r="BO78" s="20"/>
    </row>
    <row r="79" spans="21:67">
      <c r="AA79" s="1" t="s">
        <v>82</v>
      </c>
      <c r="AB79" s="46" t="s">
        <v>70</v>
      </c>
      <c r="AC79" s="16" t="s">
        <v>4</v>
      </c>
      <c r="AD79" s="16" t="s">
        <v>245</v>
      </c>
      <c r="AE79" s="1" t="s">
        <v>77</v>
      </c>
      <c r="AF79" s="15">
        <v>46.137999999999998</v>
      </c>
      <c r="AG79" s="15">
        <v>5.0999999999999997E-2</v>
      </c>
      <c r="AH79" s="15">
        <v>46.04</v>
      </c>
      <c r="AI79" s="15">
        <v>2.7E-2</v>
      </c>
      <c r="AJ79" s="15">
        <f>(AF79-AH79)</f>
        <v>9.7999999999998977E-2</v>
      </c>
      <c r="AK79" s="15">
        <f>SQRT((AG79)^2 + (AI79)^2)</f>
        <v>5.7706152185014029E-2</v>
      </c>
      <c r="AL79" s="15">
        <f>AK79^2</f>
        <v>3.3299999999999992E-3</v>
      </c>
      <c r="AM79" s="16">
        <v>-0.22</v>
      </c>
      <c r="AN79" s="20">
        <f>(AJ79-AM79)^2</f>
        <v>0.10112399999999933</v>
      </c>
      <c r="BM79" s="20"/>
      <c r="BN79" s="19" t="s">
        <v>68</v>
      </c>
      <c r="BO79" s="20">
        <f>SQRT(BO77/13)</f>
        <v>0.72842527730398332</v>
      </c>
    </row>
    <row r="80" spans="21:67">
      <c r="AA80" s="1" t="s">
        <v>82</v>
      </c>
      <c r="AB80" s="46" t="s">
        <v>70</v>
      </c>
      <c r="AC80" s="16" t="s">
        <v>119</v>
      </c>
      <c r="AD80" s="16" t="s">
        <v>246</v>
      </c>
      <c r="AE80" s="1" t="s">
        <v>247</v>
      </c>
      <c r="AF80" s="15">
        <v>68.563000000000002</v>
      </c>
      <c r="AG80" s="15">
        <v>0.11</v>
      </c>
      <c r="AH80" s="15">
        <v>68.096000000000004</v>
      </c>
      <c r="AI80" s="15">
        <v>6.3E-2</v>
      </c>
      <c r="AJ80" s="15">
        <f t="shared" ref="AJ80" si="65">(AF80-AH80)</f>
        <v>0.46699999999999875</v>
      </c>
      <c r="AK80" s="15">
        <f t="shared" ref="AK80" si="66">SQRT((AG80)^2 + (AI80)^2)</f>
        <v>0.126763559432512</v>
      </c>
      <c r="AL80" s="15">
        <f t="shared" ref="AL80" si="67">AK80^2</f>
        <v>1.6069E-2</v>
      </c>
      <c r="AM80" s="16">
        <v>0.2</v>
      </c>
      <c r="AN80" s="20">
        <f t="shared" ref="AN80" si="68">(AJ80-AM80)^2</f>
        <v>7.1288999999999325E-2</v>
      </c>
      <c r="BM80" s="20"/>
      <c r="BN80" s="19" t="s">
        <v>40</v>
      </c>
      <c r="BO80" s="20">
        <f>SQRT(BM77/13)</f>
        <v>0.22855263659014677</v>
      </c>
    </row>
    <row r="81" spans="38:67">
      <c r="AL81" s="18" t="s">
        <v>67</v>
      </c>
      <c r="AM81" s="18"/>
      <c r="AN81" s="18" t="s">
        <v>67</v>
      </c>
      <c r="BM81" s="20"/>
      <c r="BN81" s="20"/>
      <c r="BO81" s="20"/>
    </row>
    <row r="82" spans="38:67">
      <c r="AL82" s="20">
        <f>SUM(AL68:AL80)</f>
        <v>0.81891400000000014</v>
      </c>
      <c r="AM82" s="1"/>
      <c r="AN82" s="20">
        <f>SUM(AN68:AN80)</f>
        <v>9.7413679999999996</v>
      </c>
    </row>
    <row r="83" spans="38:67">
      <c r="AL83" s="1"/>
      <c r="AM83" s="1"/>
      <c r="AN83" s="1"/>
    </row>
    <row r="84" spans="38:67">
      <c r="AL84" s="1"/>
      <c r="AM84" s="1"/>
      <c r="AN84" s="1"/>
    </row>
    <row r="85" spans="38:67">
      <c r="AL85" s="1"/>
      <c r="AM85" s="19" t="s">
        <v>68</v>
      </c>
      <c r="AN85" s="1">
        <f>SQRT(AN82/13)</f>
        <v>0.86564195831764068</v>
      </c>
    </row>
    <row r="86" spans="38:67">
      <c r="AL86" s="1"/>
      <c r="AM86" s="19" t="s">
        <v>40</v>
      </c>
      <c r="AN86" s="1">
        <f>SQRT(AL82/13)</f>
        <v>0.25098482945266759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AC22E-8693-9A4A-8C0A-C778C61A73FD}">
  <dimension ref="A1:BH86"/>
  <sheetViews>
    <sheetView topLeftCell="Z32" workbookViewId="0">
      <selection activeCell="AC83" sqref="AC83"/>
    </sheetView>
  </sheetViews>
  <sheetFormatPr baseColWidth="10" defaultRowHeight="16"/>
  <cols>
    <col min="1" max="1" width="28.83203125" customWidth="1"/>
    <col min="2" max="2" width="40" customWidth="1"/>
    <col min="3" max="3" width="17.33203125" customWidth="1"/>
    <col min="4" max="4" width="25.5" customWidth="1"/>
    <col min="5" max="5" width="38.83203125" customWidth="1"/>
    <col min="6" max="6" width="17.6640625" customWidth="1"/>
    <col min="11" max="11" width="13.6640625" customWidth="1"/>
    <col min="12" max="12" width="16.83203125" customWidth="1"/>
    <col min="14" max="14" width="12.83203125" customWidth="1"/>
    <col min="15" max="15" width="15.6640625" customWidth="1"/>
    <col min="16" max="16" width="19.33203125" customWidth="1"/>
    <col min="17" max="17" width="14.33203125" customWidth="1"/>
    <col min="18" max="18" width="20.1640625" customWidth="1"/>
    <col min="21" max="21" width="14.1640625" customWidth="1"/>
    <col min="23" max="23" width="18.5" customWidth="1"/>
    <col min="24" max="24" width="20.6640625" customWidth="1"/>
    <col min="28" max="28" width="13" customWidth="1"/>
    <col min="29" max="29" width="19" customWidth="1"/>
    <col min="32" max="32" width="15.83203125" customWidth="1"/>
    <col min="33" max="33" width="18.83203125" customWidth="1"/>
    <col min="34" max="34" width="16.33203125" customWidth="1"/>
    <col min="35" max="35" width="20.1640625" customWidth="1"/>
    <col min="38" max="38" width="15" customWidth="1"/>
    <col min="40" max="40" width="16.83203125" customWidth="1"/>
    <col min="41" max="41" width="18.33203125" customWidth="1"/>
    <col min="47" max="47" width="12.33203125" customWidth="1"/>
    <col min="48" max="48" width="16.33203125" customWidth="1"/>
    <col min="51" max="51" width="20.83203125" customWidth="1"/>
    <col min="52" max="52" width="18.83203125" customWidth="1"/>
    <col min="53" max="53" width="16.33203125" customWidth="1"/>
    <col min="54" max="54" width="19.83203125" customWidth="1"/>
    <col min="57" max="57" width="18.33203125" customWidth="1"/>
    <col min="59" max="59" width="17.33203125" customWidth="1"/>
    <col min="60" max="60" width="21.33203125" customWidth="1"/>
  </cols>
  <sheetData>
    <row r="1" spans="1:60" ht="17">
      <c r="A1" s="2" t="s">
        <v>158</v>
      </c>
      <c r="B1" s="2" t="s">
        <v>159</v>
      </c>
      <c r="C1" s="2" t="s">
        <v>2</v>
      </c>
      <c r="D1" s="2" t="s">
        <v>160</v>
      </c>
      <c r="E1" s="2" t="s">
        <v>161</v>
      </c>
      <c r="F1" s="2" t="s">
        <v>2</v>
      </c>
      <c r="J1" s="10" t="s">
        <v>29</v>
      </c>
      <c r="K1" s="11"/>
      <c r="L1" s="11"/>
      <c r="M1" s="11"/>
      <c r="N1" s="11"/>
      <c r="O1" s="11"/>
      <c r="P1" s="11"/>
      <c r="Q1" s="11"/>
      <c r="R1" s="11"/>
      <c r="S1" s="11"/>
      <c r="T1" s="11"/>
      <c r="U1" s="11"/>
      <c r="V1" s="11"/>
      <c r="W1" s="11"/>
      <c r="X1" s="11"/>
      <c r="AA1" s="10" t="s">
        <v>81</v>
      </c>
      <c r="AB1" s="11"/>
      <c r="AC1" s="11"/>
      <c r="AD1" s="11"/>
      <c r="AE1" s="11"/>
      <c r="AF1" s="11"/>
      <c r="AG1" s="11"/>
      <c r="AH1" s="11"/>
      <c r="AI1" s="11"/>
      <c r="AJ1" s="11"/>
      <c r="AK1" s="11"/>
      <c r="AL1" s="11"/>
      <c r="AM1" s="11"/>
      <c r="AN1" s="11"/>
      <c r="AO1" s="11"/>
      <c r="AT1" s="10" t="s">
        <v>111</v>
      </c>
      <c r="AU1" s="11"/>
      <c r="AV1" s="11"/>
      <c r="AW1" s="11"/>
      <c r="AX1" s="11"/>
      <c r="AY1" s="11"/>
      <c r="AZ1" s="11"/>
      <c r="BA1" s="11"/>
      <c r="BB1" s="11"/>
      <c r="BC1" s="11"/>
      <c r="BD1" s="11"/>
      <c r="BE1" s="11"/>
      <c r="BF1" s="11"/>
      <c r="BG1" s="11"/>
      <c r="BH1" s="11"/>
    </row>
    <row r="2" spans="1:60">
      <c r="A2" s="3" t="s">
        <v>14</v>
      </c>
      <c r="B2" s="3">
        <v>526</v>
      </c>
      <c r="C2" s="3">
        <v>-0.51</v>
      </c>
      <c r="D2" s="3" t="s">
        <v>162</v>
      </c>
      <c r="E2" s="3">
        <v>332</v>
      </c>
      <c r="F2" s="3">
        <v>0.56999999999999995</v>
      </c>
      <c r="J2" s="12" t="s">
        <v>30</v>
      </c>
      <c r="K2" s="12" t="s">
        <v>31</v>
      </c>
      <c r="L2" s="13" t="s">
        <v>32</v>
      </c>
      <c r="M2" s="12" t="s">
        <v>33</v>
      </c>
      <c r="N2" s="12" t="s">
        <v>34</v>
      </c>
      <c r="O2" s="12" t="s">
        <v>35</v>
      </c>
      <c r="P2" s="12" t="s">
        <v>36</v>
      </c>
      <c r="Q2" s="12" t="s">
        <v>37</v>
      </c>
      <c r="R2" s="12" t="s">
        <v>38</v>
      </c>
      <c r="S2" s="12" t="s">
        <v>39</v>
      </c>
      <c r="T2" s="14" t="s">
        <v>40</v>
      </c>
      <c r="U2" s="12" t="s">
        <v>41</v>
      </c>
      <c r="V2" s="12" t="s">
        <v>42</v>
      </c>
      <c r="W2" s="12" t="s">
        <v>43</v>
      </c>
      <c r="X2" s="12" t="s">
        <v>44</v>
      </c>
      <c r="AA2" s="12" t="s">
        <v>30</v>
      </c>
      <c r="AB2" s="12" t="s">
        <v>31</v>
      </c>
      <c r="AC2" s="13" t="s">
        <v>32</v>
      </c>
      <c r="AD2" s="12" t="s">
        <v>33</v>
      </c>
      <c r="AE2" s="12" t="s">
        <v>34</v>
      </c>
      <c r="AF2" s="12" t="s">
        <v>35</v>
      </c>
      <c r="AG2" s="12" t="s">
        <v>36</v>
      </c>
      <c r="AH2" s="12" t="s">
        <v>37</v>
      </c>
      <c r="AI2" s="12" t="s">
        <v>38</v>
      </c>
      <c r="AJ2" s="12" t="s">
        <v>39</v>
      </c>
      <c r="AK2" s="14" t="s">
        <v>40</v>
      </c>
      <c r="AL2" s="12" t="s">
        <v>41</v>
      </c>
      <c r="AM2" s="12" t="s">
        <v>42</v>
      </c>
      <c r="AN2" s="12" t="s">
        <v>43</v>
      </c>
      <c r="AO2" s="12" t="s">
        <v>44</v>
      </c>
      <c r="AT2" s="12" t="s">
        <v>30</v>
      </c>
      <c r="AU2" s="12" t="s">
        <v>31</v>
      </c>
      <c r="AV2" s="13" t="s">
        <v>32</v>
      </c>
      <c r="AW2" s="12" t="s">
        <v>33</v>
      </c>
      <c r="AX2" s="12" t="s">
        <v>34</v>
      </c>
      <c r="AY2" s="12" t="s">
        <v>35</v>
      </c>
      <c r="AZ2" s="12" t="s">
        <v>36</v>
      </c>
      <c r="BA2" s="12" t="s">
        <v>37</v>
      </c>
      <c r="BB2" s="12" t="s">
        <v>38</v>
      </c>
      <c r="BC2" s="12" t="s">
        <v>39</v>
      </c>
      <c r="BD2" s="14" t="s">
        <v>40</v>
      </c>
      <c r="BE2" s="12" t="s">
        <v>41</v>
      </c>
      <c r="BF2" s="12" t="s">
        <v>42</v>
      </c>
      <c r="BG2" s="12" t="s">
        <v>43</v>
      </c>
      <c r="BH2" s="12" t="s">
        <v>44</v>
      </c>
    </row>
    <row r="3" spans="1:60">
      <c r="A3" s="6" t="s">
        <v>163</v>
      </c>
      <c r="B3" s="3">
        <v>551</v>
      </c>
      <c r="C3" s="3">
        <v>1.1299999999999999</v>
      </c>
      <c r="D3" s="6" t="s">
        <v>9</v>
      </c>
      <c r="E3" s="3">
        <v>346</v>
      </c>
      <c r="F3" s="3">
        <v>1.07</v>
      </c>
      <c r="J3" s="46" t="s">
        <v>45</v>
      </c>
      <c r="K3" s="46" t="s">
        <v>46</v>
      </c>
      <c r="L3" s="3" t="s">
        <v>166</v>
      </c>
      <c r="M3" s="46" t="s">
        <v>177</v>
      </c>
      <c r="N3" s="46" t="s">
        <v>58</v>
      </c>
      <c r="O3" s="15">
        <v>-3.9929999999999999</v>
      </c>
      <c r="P3" s="15">
        <v>0.182</v>
      </c>
      <c r="Q3" s="15">
        <v>-4.2080000000000002</v>
      </c>
      <c r="R3" s="15">
        <v>0.17499999999999999</v>
      </c>
      <c r="S3" s="15">
        <f>(O3-Q3)</f>
        <v>0.2150000000000003</v>
      </c>
      <c r="T3" s="15">
        <f>SQRT((P3)^2 + (R3)^2)</f>
        <v>0.25248564315620009</v>
      </c>
      <c r="U3" s="15">
        <f>T3^2</f>
        <v>6.3749000000000014E-2</v>
      </c>
      <c r="V3" s="3">
        <v>-0.82</v>
      </c>
      <c r="W3" s="20">
        <f>(S3-V3)^2</f>
        <v>1.0712250000000003</v>
      </c>
      <c r="X3" s="20" t="s">
        <v>234</v>
      </c>
      <c r="AA3" s="1" t="s">
        <v>235</v>
      </c>
      <c r="AB3" s="46" t="s">
        <v>46</v>
      </c>
      <c r="AC3" s="3" t="s">
        <v>162</v>
      </c>
      <c r="AD3" s="3" t="s">
        <v>199</v>
      </c>
      <c r="AE3" s="1" t="s">
        <v>202</v>
      </c>
      <c r="AF3" s="15">
        <v>4.58</v>
      </c>
      <c r="AG3" s="15">
        <v>0.188</v>
      </c>
      <c r="AH3" s="15">
        <v>3.4510000000000001</v>
      </c>
      <c r="AI3" s="15">
        <v>0.22500000000000001</v>
      </c>
      <c r="AJ3" s="15">
        <f>(AF3-AH3)</f>
        <v>1.129</v>
      </c>
      <c r="AK3" s="15">
        <f>SQRT((AG3)^2 + (AI3)^2)</f>
        <v>0.29320470664707959</v>
      </c>
      <c r="AL3" s="15">
        <f>AK3^2</f>
        <v>8.5969000000000004E-2</v>
      </c>
      <c r="AM3" s="3">
        <v>0.56999999999999995</v>
      </c>
      <c r="AN3" s="20">
        <f>(AJ3-AM3)^2</f>
        <v>0.31248100000000006</v>
      </c>
      <c r="AO3" s="1" t="s">
        <v>254</v>
      </c>
      <c r="AT3" s="1" t="s">
        <v>101</v>
      </c>
      <c r="AU3" s="46" t="s">
        <v>46</v>
      </c>
      <c r="AV3" s="3" t="s">
        <v>162</v>
      </c>
      <c r="AW3" s="3">
        <v>332</v>
      </c>
      <c r="AX3" s="1" t="s">
        <v>202</v>
      </c>
      <c r="AY3" s="15">
        <v>5.3360000000000003</v>
      </c>
      <c r="AZ3" s="15">
        <v>0.17599999999999999</v>
      </c>
      <c r="BA3" s="15">
        <v>3.3849999999999998</v>
      </c>
      <c r="BB3" s="15">
        <v>0.152</v>
      </c>
      <c r="BC3" s="15">
        <f>(AY3-BA3)</f>
        <v>1.9510000000000005</v>
      </c>
      <c r="BD3" s="15">
        <f>SQRT((AZ3)^2+(BB3)^2)</f>
        <v>0.23255106965997813</v>
      </c>
      <c r="BE3" s="15">
        <f>BD3^2</f>
        <v>5.4079999999999996E-2</v>
      </c>
      <c r="BF3" s="3">
        <v>0.56999999999999995</v>
      </c>
      <c r="BG3" s="20">
        <f>(BC3-BF3)^2</f>
        <v>1.9071610000000019</v>
      </c>
      <c r="BH3" s="1" t="s">
        <v>155</v>
      </c>
    </row>
    <row r="4" spans="1:60">
      <c r="A4" s="6" t="s">
        <v>164</v>
      </c>
      <c r="B4" s="3">
        <v>552</v>
      </c>
      <c r="C4" s="3">
        <v>0.47</v>
      </c>
      <c r="D4" s="6" t="s">
        <v>11</v>
      </c>
      <c r="E4" s="3">
        <v>349</v>
      </c>
      <c r="F4" s="3">
        <v>1.53</v>
      </c>
      <c r="J4" s="46" t="s">
        <v>45</v>
      </c>
      <c r="K4" s="46" t="s">
        <v>46</v>
      </c>
      <c r="L4" s="3" t="s">
        <v>13</v>
      </c>
      <c r="M4" s="46" t="s">
        <v>179</v>
      </c>
      <c r="N4" s="46" t="s">
        <v>187</v>
      </c>
      <c r="O4" s="15">
        <v>16.452000000000002</v>
      </c>
      <c r="P4" s="15">
        <v>0.247</v>
      </c>
      <c r="Q4" s="15">
        <v>13.786</v>
      </c>
      <c r="R4" s="15">
        <v>7.6999999999999999E-2</v>
      </c>
      <c r="S4" s="15">
        <f t="shared" ref="S4:S11" si="0">(O4-Q4)</f>
        <v>2.6660000000000021</v>
      </c>
      <c r="T4" s="15">
        <f t="shared" ref="T4:T11" si="1">SQRT((P4)^2 + (R4)^2)</f>
        <v>0.25872379094316006</v>
      </c>
      <c r="U4" s="15">
        <f t="shared" ref="U4:U11" si="2">T4^2</f>
        <v>6.6937999999999998E-2</v>
      </c>
      <c r="V4" s="3">
        <v>0.46</v>
      </c>
      <c r="W4" s="20">
        <f t="shared" ref="W4:W11" si="3">(S4-V4)^2</f>
        <v>4.86643600000001</v>
      </c>
      <c r="X4" s="20" t="s">
        <v>234</v>
      </c>
      <c r="AA4" s="1" t="s">
        <v>101</v>
      </c>
      <c r="AB4" s="46" t="s">
        <v>46</v>
      </c>
      <c r="AC4" s="6" t="s">
        <v>9</v>
      </c>
      <c r="AD4" s="3" t="s">
        <v>200</v>
      </c>
      <c r="AE4" s="1" t="s">
        <v>203</v>
      </c>
      <c r="AF4" s="1">
        <v>-38.686</v>
      </c>
      <c r="AG4" s="1">
        <v>0.495</v>
      </c>
      <c r="AH4" s="1">
        <v>-40.798999999999999</v>
      </c>
      <c r="AI4" s="1">
        <v>0.32400000000000001</v>
      </c>
      <c r="AJ4" s="15">
        <f t="shared" ref="AJ4:AJ16" si="4">(AF4-AH4)</f>
        <v>2.1129999999999995</v>
      </c>
      <c r="AK4" s="15">
        <f t="shared" ref="AK4:AK16" si="5">SQRT((AG4)^2 + (AI4)^2)</f>
        <v>0.59160882346361265</v>
      </c>
      <c r="AL4" s="15">
        <f t="shared" ref="AL4:AL16" si="6">AK4^2</f>
        <v>0.35000100000000001</v>
      </c>
      <c r="AM4" s="3">
        <v>1.07</v>
      </c>
      <c r="AN4" s="20">
        <f t="shared" ref="AN4:AN16" si="7">(AJ4-AM4)^2</f>
        <v>1.087848999999999</v>
      </c>
      <c r="AO4" s="1" t="s">
        <v>263</v>
      </c>
      <c r="AT4" s="1" t="s">
        <v>101</v>
      </c>
      <c r="AU4" s="46" t="s">
        <v>46</v>
      </c>
      <c r="AV4" s="6" t="s">
        <v>9</v>
      </c>
      <c r="AW4" s="3">
        <v>346</v>
      </c>
      <c r="AX4" s="1" t="s">
        <v>203</v>
      </c>
      <c r="AY4" s="1">
        <v>-38.686</v>
      </c>
      <c r="AZ4" s="1">
        <v>0.495</v>
      </c>
      <c r="BA4" s="1">
        <v>-40.798999999999999</v>
      </c>
      <c r="BB4" s="1">
        <v>0.32400000000000001</v>
      </c>
      <c r="BC4" s="15">
        <f t="shared" ref="BC4:BC16" si="8">(AY4-BA4)</f>
        <v>2.1129999999999995</v>
      </c>
      <c r="BD4" s="15">
        <f t="shared" ref="BD4:BD16" si="9">SQRT((AZ4)^2+(BB4)^2)</f>
        <v>0.59160882346361265</v>
      </c>
      <c r="BE4" s="15">
        <f t="shared" ref="BE4:BE16" si="10">BD4^2</f>
        <v>0.35000100000000001</v>
      </c>
      <c r="BF4" s="3">
        <v>1.07</v>
      </c>
      <c r="BG4" s="20">
        <f t="shared" ref="BG4:BG16" si="11">(BC4-BF4)^2</f>
        <v>1.087848999999999</v>
      </c>
      <c r="BH4" s="1" t="s">
        <v>263</v>
      </c>
    </row>
    <row r="5" spans="1:60">
      <c r="A5" s="6" t="s">
        <v>165</v>
      </c>
      <c r="B5" s="3">
        <v>612</v>
      </c>
      <c r="C5" s="3">
        <v>0.97</v>
      </c>
      <c r="D5" s="3" t="s">
        <v>166</v>
      </c>
      <c r="E5" s="3">
        <v>353</v>
      </c>
      <c r="F5" s="3">
        <v>-0.82</v>
      </c>
      <c r="J5" s="46" t="s">
        <v>45</v>
      </c>
      <c r="K5" s="46" t="s">
        <v>46</v>
      </c>
      <c r="L5" s="3" t="s">
        <v>168</v>
      </c>
      <c r="M5" s="46" t="s">
        <v>180</v>
      </c>
      <c r="N5" s="46" t="s">
        <v>61</v>
      </c>
      <c r="O5" s="15">
        <v>-4.5519999999999996</v>
      </c>
      <c r="P5" s="15">
        <v>0.224</v>
      </c>
      <c r="Q5" s="15">
        <v>-5.0510000000000002</v>
      </c>
      <c r="R5" s="15">
        <v>3.5999999999999997E-2</v>
      </c>
      <c r="S5" s="15">
        <f t="shared" si="0"/>
        <v>0.49900000000000055</v>
      </c>
      <c r="T5" s="15">
        <f t="shared" si="1"/>
        <v>0.22687441459979574</v>
      </c>
      <c r="U5" s="15">
        <f t="shared" si="2"/>
        <v>5.1472000000000011E-2</v>
      </c>
      <c r="V5" s="3">
        <v>0.99</v>
      </c>
      <c r="W5" s="20">
        <f t="shared" si="3"/>
        <v>0.24108099999999943</v>
      </c>
      <c r="X5" s="20" t="s">
        <v>234</v>
      </c>
      <c r="AA5" s="1" t="s">
        <v>101</v>
      </c>
      <c r="AB5" s="46" t="s">
        <v>46</v>
      </c>
      <c r="AC5" s="6" t="s">
        <v>11</v>
      </c>
      <c r="AD5" s="3" t="s">
        <v>176</v>
      </c>
      <c r="AE5" s="1" t="s">
        <v>186</v>
      </c>
      <c r="AF5" s="15">
        <v>-41.232999999999997</v>
      </c>
      <c r="AG5" s="15">
        <v>0.193</v>
      </c>
      <c r="AH5" s="15">
        <v>-43.319000000000003</v>
      </c>
      <c r="AI5" s="15">
        <v>8.5000000000000006E-2</v>
      </c>
      <c r="AJ5" s="15">
        <f t="shared" si="4"/>
        <v>2.0860000000000056</v>
      </c>
      <c r="AK5" s="15">
        <f t="shared" si="5"/>
        <v>0.21088859618291361</v>
      </c>
      <c r="AL5" s="15">
        <f t="shared" si="6"/>
        <v>4.4474000000000007E-2</v>
      </c>
      <c r="AM5" s="3">
        <v>1.53</v>
      </c>
      <c r="AN5" s="20">
        <f t="shared" si="7"/>
        <v>0.30913600000000624</v>
      </c>
      <c r="AO5" s="1" t="s">
        <v>155</v>
      </c>
      <c r="AT5" s="1" t="s">
        <v>101</v>
      </c>
      <c r="AU5" s="46" t="s">
        <v>46</v>
      </c>
      <c r="AV5" s="6" t="s">
        <v>11</v>
      </c>
      <c r="AW5" s="3">
        <v>349</v>
      </c>
      <c r="AX5" s="1" t="s">
        <v>186</v>
      </c>
      <c r="AY5" s="15">
        <v>-41.232999999999997</v>
      </c>
      <c r="AZ5" s="15">
        <v>0.193</v>
      </c>
      <c r="BA5" s="15">
        <v>-43.319000000000003</v>
      </c>
      <c r="BB5" s="15">
        <v>8.5000000000000006E-2</v>
      </c>
      <c r="BC5" s="15">
        <f t="shared" si="8"/>
        <v>2.0860000000000056</v>
      </c>
      <c r="BD5" s="15">
        <f t="shared" si="9"/>
        <v>0.21088859618291361</v>
      </c>
      <c r="BE5" s="15">
        <f t="shared" si="10"/>
        <v>4.4474000000000007E-2</v>
      </c>
      <c r="BF5" s="3">
        <v>1.53</v>
      </c>
      <c r="BG5" s="20">
        <f t="shared" si="11"/>
        <v>0.30913600000000624</v>
      </c>
      <c r="BH5" s="1" t="s">
        <v>155</v>
      </c>
    </row>
    <row r="6" spans="1:60">
      <c r="A6" s="6" t="s">
        <v>12</v>
      </c>
      <c r="B6" s="3">
        <v>614</v>
      </c>
      <c r="C6" s="3">
        <v>0.02</v>
      </c>
      <c r="D6" s="3" t="s">
        <v>167</v>
      </c>
      <c r="E6" s="3">
        <v>354</v>
      </c>
      <c r="F6" s="3">
        <v>-0.85</v>
      </c>
      <c r="J6" s="46" t="s">
        <v>45</v>
      </c>
      <c r="K6" s="46" t="s">
        <v>46</v>
      </c>
      <c r="L6" s="3" t="s">
        <v>170</v>
      </c>
      <c r="M6" s="46" t="s">
        <v>201</v>
      </c>
      <c r="N6" s="46" t="s">
        <v>205</v>
      </c>
      <c r="O6" s="15">
        <v>11.79</v>
      </c>
      <c r="P6" s="15">
        <v>0.16600000000000001</v>
      </c>
      <c r="Q6" s="15">
        <v>11.832000000000001</v>
      </c>
      <c r="R6" s="15">
        <v>0.16900000000000001</v>
      </c>
      <c r="S6" s="15">
        <f t="shared" si="0"/>
        <v>-4.2000000000001592E-2</v>
      </c>
      <c r="T6" s="15">
        <f t="shared" si="1"/>
        <v>0.23689026995636611</v>
      </c>
      <c r="U6" s="15">
        <f t="shared" si="2"/>
        <v>5.6117000000000014E-2</v>
      </c>
      <c r="V6" s="3">
        <v>0.06</v>
      </c>
      <c r="W6" s="20">
        <f t="shared" si="3"/>
        <v>1.0404000000000324E-2</v>
      </c>
      <c r="X6" s="20" t="s">
        <v>234</v>
      </c>
      <c r="AA6" s="1" t="s">
        <v>235</v>
      </c>
      <c r="AB6" s="46" t="s">
        <v>46</v>
      </c>
      <c r="AC6" s="3" t="s">
        <v>166</v>
      </c>
      <c r="AD6" s="3" t="s">
        <v>177</v>
      </c>
      <c r="AE6" s="1" t="s">
        <v>58</v>
      </c>
      <c r="AF6" s="58">
        <v>-4.1100000000000003</v>
      </c>
      <c r="AG6" s="58">
        <v>7.6999999999999999E-2</v>
      </c>
      <c r="AH6" s="58">
        <v>-4.2249999999999996</v>
      </c>
      <c r="AI6" s="58">
        <v>0.08</v>
      </c>
      <c r="AJ6" s="15">
        <f t="shared" si="4"/>
        <v>0.11499999999999932</v>
      </c>
      <c r="AK6" s="15">
        <f t="shared" si="5"/>
        <v>0.11103603018840326</v>
      </c>
      <c r="AL6" s="15">
        <f t="shared" si="6"/>
        <v>1.2329E-2</v>
      </c>
      <c r="AM6" s="3">
        <v>-0.82</v>
      </c>
      <c r="AN6" s="20">
        <f t="shared" si="7"/>
        <v>0.8742249999999987</v>
      </c>
      <c r="AO6" s="1" t="s">
        <v>254</v>
      </c>
      <c r="AT6" s="1" t="s">
        <v>101</v>
      </c>
      <c r="AU6" s="46" t="s">
        <v>46</v>
      </c>
      <c r="AV6" s="3" t="s">
        <v>166</v>
      </c>
      <c r="AW6" s="3">
        <v>353</v>
      </c>
      <c r="AX6" s="1" t="s">
        <v>58</v>
      </c>
      <c r="AY6" s="15">
        <v>-4.9210000000000003</v>
      </c>
      <c r="AZ6" s="15">
        <v>0.23400000000000001</v>
      </c>
      <c r="BA6" s="15">
        <v>-4.577</v>
      </c>
      <c r="BB6" s="15">
        <v>9.5000000000000001E-2</v>
      </c>
      <c r="BC6" s="15">
        <f t="shared" si="8"/>
        <v>-0.34400000000000031</v>
      </c>
      <c r="BD6" s="15">
        <f t="shared" si="9"/>
        <v>0.25254900514553608</v>
      </c>
      <c r="BE6" s="15">
        <f t="shared" si="10"/>
        <v>6.3781000000000004E-2</v>
      </c>
      <c r="BF6" s="3">
        <v>-0.82</v>
      </c>
      <c r="BG6" s="20">
        <f t="shared" si="11"/>
        <v>0.22657599999999967</v>
      </c>
      <c r="BH6" s="1" t="s">
        <v>155</v>
      </c>
    </row>
    <row r="7" spans="1:60">
      <c r="A7" s="3"/>
      <c r="B7" s="3"/>
      <c r="C7" s="3"/>
      <c r="D7" s="3" t="s">
        <v>13</v>
      </c>
      <c r="E7" s="3">
        <v>355</v>
      </c>
      <c r="F7" s="3">
        <v>0.46</v>
      </c>
      <c r="J7" s="46" t="s">
        <v>45</v>
      </c>
      <c r="K7" s="46" t="s">
        <v>46</v>
      </c>
      <c r="L7" s="3" t="s">
        <v>171</v>
      </c>
      <c r="M7" s="46" t="s">
        <v>86</v>
      </c>
      <c r="N7" s="46" t="s">
        <v>92</v>
      </c>
      <c r="O7" s="15">
        <v>-8.7149999999999999</v>
      </c>
      <c r="P7" s="15">
        <v>0.32600000000000001</v>
      </c>
      <c r="Q7" s="15">
        <v>-8.0739999999999998</v>
      </c>
      <c r="R7" s="15">
        <v>0.11700000000000001</v>
      </c>
      <c r="S7" s="15">
        <f t="shared" si="0"/>
        <v>-0.64100000000000001</v>
      </c>
      <c r="T7" s="15">
        <f t="shared" si="1"/>
        <v>0.34635963968106909</v>
      </c>
      <c r="U7" s="15">
        <f t="shared" si="2"/>
        <v>0.119965</v>
      </c>
      <c r="V7" s="3">
        <v>0.47</v>
      </c>
      <c r="W7" s="20">
        <f t="shared" si="3"/>
        <v>1.234321</v>
      </c>
      <c r="X7" s="20" t="s">
        <v>234</v>
      </c>
      <c r="AA7" s="1" t="s">
        <v>235</v>
      </c>
      <c r="AB7" s="46" t="s">
        <v>46</v>
      </c>
      <c r="AC7" s="3" t="s">
        <v>167</v>
      </c>
      <c r="AD7" s="3" t="s">
        <v>178</v>
      </c>
      <c r="AE7" s="1" t="s">
        <v>59</v>
      </c>
      <c r="AF7" s="58">
        <v>13.035</v>
      </c>
      <c r="AG7" s="58">
        <v>0.24</v>
      </c>
      <c r="AH7" s="58">
        <v>13.077</v>
      </c>
      <c r="AI7" s="58">
        <v>1.4999999999999999E-2</v>
      </c>
      <c r="AJ7" s="15">
        <f t="shared" si="4"/>
        <v>-4.1999999999999815E-2</v>
      </c>
      <c r="AK7" s="15">
        <f t="shared" si="5"/>
        <v>0.24046829312822096</v>
      </c>
      <c r="AL7" s="15">
        <f t="shared" si="6"/>
        <v>5.7825000000000001E-2</v>
      </c>
      <c r="AM7" s="3">
        <v>-0.85</v>
      </c>
      <c r="AN7" s="20">
        <f t="shared" si="7"/>
        <v>0.65286400000000022</v>
      </c>
      <c r="AO7" s="1" t="s">
        <v>254</v>
      </c>
      <c r="AT7" s="1" t="s">
        <v>101</v>
      </c>
      <c r="AU7" s="46" t="s">
        <v>46</v>
      </c>
      <c r="AV7" s="3" t="s">
        <v>167</v>
      </c>
      <c r="AW7" s="3">
        <v>354</v>
      </c>
      <c r="AX7" s="1" t="s">
        <v>59</v>
      </c>
      <c r="AY7" s="15">
        <v>12.007999999999999</v>
      </c>
      <c r="AZ7" s="15">
        <v>0.13800000000000001</v>
      </c>
      <c r="BA7" s="15">
        <v>12.928000000000001</v>
      </c>
      <c r="BB7" s="15">
        <v>1.2E-2</v>
      </c>
      <c r="BC7" s="15">
        <f t="shared" si="8"/>
        <v>-0.92000000000000171</v>
      </c>
      <c r="BD7" s="15">
        <f t="shared" si="9"/>
        <v>0.13852075656738236</v>
      </c>
      <c r="BE7" s="15">
        <f t="shared" si="10"/>
        <v>1.9188000000000004E-2</v>
      </c>
      <c r="BF7" s="3">
        <v>-0.85</v>
      </c>
      <c r="BG7" s="20">
        <f t="shared" si="11"/>
        <v>4.9000000000002418E-3</v>
      </c>
      <c r="BH7" s="1" t="s">
        <v>155</v>
      </c>
    </row>
    <row r="8" spans="1:60">
      <c r="A8" s="3"/>
      <c r="B8" s="3"/>
      <c r="C8" s="3"/>
      <c r="D8" s="3" t="s">
        <v>168</v>
      </c>
      <c r="E8" s="3">
        <v>357</v>
      </c>
      <c r="F8" s="3">
        <v>0.99</v>
      </c>
      <c r="J8" s="46" t="s">
        <v>45</v>
      </c>
      <c r="K8" s="46" t="s">
        <v>46</v>
      </c>
      <c r="L8" s="3" t="s">
        <v>172</v>
      </c>
      <c r="M8" s="46" t="s">
        <v>182</v>
      </c>
      <c r="N8" s="46" t="s">
        <v>93</v>
      </c>
      <c r="O8" s="15">
        <v>10.742000000000001</v>
      </c>
      <c r="P8" s="15">
        <v>0.19700000000000001</v>
      </c>
      <c r="Q8" s="15">
        <v>11.053000000000001</v>
      </c>
      <c r="R8" s="15">
        <v>0.12</v>
      </c>
      <c r="S8" s="15">
        <f t="shared" si="0"/>
        <v>-0.31099999999999994</v>
      </c>
      <c r="T8" s="15">
        <f t="shared" si="1"/>
        <v>0.23067076104266013</v>
      </c>
      <c r="U8" s="15">
        <f t="shared" si="2"/>
        <v>5.3209000000000006E-2</v>
      </c>
      <c r="V8" s="3">
        <v>-0.43</v>
      </c>
      <c r="W8" s="20">
        <f t="shared" si="3"/>
        <v>1.4161000000000012E-2</v>
      </c>
      <c r="X8" s="20" t="s">
        <v>234</v>
      </c>
      <c r="AA8" s="1" t="s">
        <v>235</v>
      </c>
      <c r="AB8" s="46" t="s">
        <v>46</v>
      </c>
      <c r="AC8" s="3" t="s">
        <v>13</v>
      </c>
      <c r="AD8" s="3" t="s">
        <v>179</v>
      </c>
      <c r="AE8" s="1" t="s">
        <v>187</v>
      </c>
      <c r="AF8" s="58">
        <v>16.288</v>
      </c>
      <c r="AG8" s="58">
        <v>0.23200000000000001</v>
      </c>
      <c r="AH8" s="58">
        <v>14.128</v>
      </c>
      <c r="AI8" s="58">
        <v>0.09</v>
      </c>
      <c r="AJ8" s="15">
        <f t="shared" si="4"/>
        <v>2.16</v>
      </c>
      <c r="AK8" s="15">
        <f t="shared" si="5"/>
        <v>0.2488453334905037</v>
      </c>
      <c r="AL8" s="15">
        <f t="shared" si="6"/>
        <v>6.1924E-2</v>
      </c>
      <c r="AM8" s="3">
        <v>0.46</v>
      </c>
      <c r="AN8" s="20">
        <f t="shared" si="7"/>
        <v>2.8900000000000006</v>
      </c>
      <c r="AO8" s="1" t="s">
        <v>254</v>
      </c>
      <c r="AT8" s="1" t="s">
        <v>101</v>
      </c>
      <c r="AU8" s="46" t="s">
        <v>46</v>
      </c>
      <c r="AV8" s="3" t="s">
        <v>13</v>
      </c>
      <c r="AW8" s="3">
        <v>355</v>
      </c>
      <c r="AX8" s="1" t="s">
        <v>187</v>
      </c>
      <c r="AY8" s="15">
        <v>16.268999999999998</v>
      </c>
      <c r="AZ8" s="15">
        <v>5.8000000000000003E-2</v>
      </c>
      <c r="BA8" s="15">
        <v>13.558</v>
      </c>
      <c r="BB8" s="15">
        <v>0.17100000000000001</v>
      </c>
      <c r="BC8" s="15">
        <f t="shared" si="8"/>
        <v>2.7109999999999985</v>
      </c>
      <c r="BD8" s="15">
        <f t="shared" si="9"/>
        <v>0.18056854654119583</v>
      </c>
      <c r="BE8" s="15">
        <f t="shared" si="10"/>
        <v>3.2605000000000009E-2</v>
      </c>
      <c r="BF8" s="3">
        <v>0.46</v>
      </c>
      <c r="BG8" s="20">
        <f t="shared" si="11"/>
        <v>5.0670009999999932</v>
      </c>
      <c r="BH8" s="1" t="s">
        <v>155</v>
      </c>
    </row>
    <row r="9" spans="1:60">
      <c r="A9" s="3"/>
      <c r="B9" s="3"/>
      <c r="C9" s="3"/>
      <c r="D9" s="3" t="s">
        <v>169</v>
      </c>
      <c r="E9" s="3">
        <v>358</v>
      </c>
      <c r="F9" s="3">
        <v>1.53</v>
      </c>
      <c r="J9" s="46" t="s">
        <v>45</v>
      </c>
      <c r="K9" s="46" t="s">
        <v>46</v>
      </c>
      <c r="L9" s="6" t="s">
        <v>173</v>
      </c>
      <c r="M9" s="46" t="s">
        <v>183</v>
      </c>
      <c r="N9" s="46" t="s">
        <v>94</v>
      </c>
      <c r="O9" s="15">
        <v>13.61</v>
      </c>
      <c r="P9" s="15">
        <v>6.6000000000000003E-2</v>
      </c>
      <c r="Q9" s="15">
        <v>13.471</v>
      </c>
      <c r="R9" s="15">
        <v>0.13</v>
      </c>
      <c r="S9" s="15">
        <f t="shared" si="0"/>
        <v>0.13899999999999935</v>
      </c>
      <c r="T9" s="15">
        <f t="shared" si="1"/>
        <v>0.14579437574886078</v>
      </c>
      <c r="U9" s="15">
        <f t="shared" si="2"/>
        <v>2.1256000000000004E-2</v>
      </c>
      <c r="V9" s="3">
        <v>-0.27</v>
      </c>
      <c r="W9" s="20">
        <f t="shared" si="3"/>
        <v>0.16728099999999949</v>
      </c>
      <c r="X9" s="20" t="s">
        <v>234</v>
      </c>
      <c r="AA9" s="1" t="s">
        <v>235</v>
      </c>
      <c r="AB9" s="46" t="s">
        <v>46</v>
      </c>
      <c r="AC9" s="3" t="s">
        <v>168</v>
      </c>
      <c r="AD9" s="3" t="s">
        <v>180</v>
      </c>
      <c r="AE9" s="1" t="s">
        <v>61</v>
      </c>
      <c r="AF9" s="58">
        <v>-5.1020000000000003</v>
      </c>
      <c r="AG9" s="58">
        <v>0.14299999999999999</v>
      </c>
      <c r="AH9" s="58">
        <v>-5.0380000000000003</v>
      </c>
      <c r="AI9" s="58">
        <v>1.4E-2</v>
      </c>
      <c r="AJ9" s="15">
        <f t="shared" si="4"/>
        <v>-6.4000000000000057E-2</v>
      </c>
      <c r="AK9" s="15">
        <f t="shared" si="5"/>
        <v>0.14368368035375484</v>
      </c>
      <c r="AL9" s="15">
        <f t="shared" si="6"/>
        <v>2.0644999999999993E-2</v>
      </c>
      <c r="AM9" s="3">
        <v>0.99</v>
      </c>
      <c r="AN9" s="20">
        <f t="shared" si="7"/>
        <v>1.110916</v>
      </c>
      <c r="AO9" s="1" t="s">
        <v>254</v>
      </c>
      <c r="AT9" s="1" t="s">
        <v>101</v>
      </c>
      <c r="AU9" s="46" t="s">
        <v>46</v>
      </c>
      <c r="AV9" s="3" t="s">
        <v>168</v>
      </c>
      <c r="AW9" s="3">
        <v>357</v>
      </c>
      <c r="AX9" s="1" t="s">
        <v>61</v>
      </c>
      <c r="AY9" s="15">
        <v>-5.1020000000000003</v>
      </c>
      <c r="AZ9" s="15">
        <v>0.13400000000000001</v>
      </c>
      <c r="BA9" s="15">
        <v>-5.0519999999999996</v>
      </c>
      <c r="BB9" s="15">
        <v>1.7999999999999999E-2</v>
      </c>
      <c r="BC9" s="15">
        <f t="shared" si="8"/>
        <v>-5.0000000000000711E-2</v>
      </c>
      <c r="BD9" s="15">
        <f t="shared" si="9"/>
        <v>0.13520355024924458</v>
      </c>
      <c r="BE9" s="15">
        <f t="shared" si="10"/>
        <v>1.8280000000000001E-2</v>
      </c>
      <c r="BF9" s="3">
        <v>0.99</v>
      </c>
      <c r="BG9" s="20">
        <f t="shared" si="11"/>
        <v>1.0816000000000014</v>
      </c>
      <c r="BH9" s="1" t="s">
        <v>155</v>
      </c>
    </row>
    <row r="10" spans="1:60">
      <c r="A10" s="3"/>
      <c r="B10" s="3"/>
      <c r="C10" s="3"/>
      <c r="D10" s="3" t="s">
        <v>170</v>
      </c>
      <c r="E10" s="3">
        <v>360</v>
      </c>
      <c r="F10" s="3">
        <v>0.06</v>
      </c>
      <c r="J10" s="46" t="s">
        <v>45</v>
      </c>
      <c r="K10" s="46" t="s">
        <v>46</v>
      </c>
      <c r="L10" s="6" t="s">
        <v>174</v>
      </c>
      <c r="M10" s="46" t="s">
        <v>184</v>
      </c>
      <c r="N10" s="46" t="s">
        <v>188</v>
      </c>
      <c r="O10" s="15">
        <v>10.519</v>
      </c>
      <c r="P10" s="15">
        <v>0.121</v>
      </c>
      <c r="Q10" s="15">
        <v>11.122</v>
      </c>
      <c r="R10" s="15">
        <v>1.6E-2</v>
      </c>
      <c r="S10" s="15">
        <f t="shared" si="0"/>
        <v>-0.60299999999999976</v>
      </c>
      <c r="T10" s="15">
        <f t="shared" si="1"/>
        <v>0.12205326705991937</v>
      </c>
      <c r="U10" s="15">
        <f t="shared" si="2"/>
        <v>1.4896999999999999E-2</v>
      </c>
      <c r="V10" s="3">
        <v>-0.63</v>
      </c>
      <c r="W10" s="20">
        <f t="shared" si="3"/>
        <v>7.2900000000001327E-4</v>
      </c>
      <c r="X10" s="20" t="s">
        <v>234</v>
      </c>
      <c r="AA10" s="1" t="s">
        <v>235</v>
      </c>
      <c r="AB10" s="46" t="s">
        <v>46</v>
      </c>
      <c r="AC10" s="3" t="s">
        <v>169</v>
      </c>
      <c r="AD10" s="3" t="s">
        <v>181</v>
      </c>
      <c r="AE10" s="1" t="s">
        <v>91</v>
      </c>
      <c r="AF10" s="58">
        <v>70.59</v>
      </c>
      <c r="AG10" s="58">
        <v>0.251</v>
      </c>
      <c r="AH10" s="58">
        <v>69.650000000000006</v>
      </c>
      <c r="AI10" s="58">
        <v>4.8000000000000001E-2</v>
      </c>
      <c r="AJ10" s="15">
        <f t="shared" si="4"/>
        <v>0.93999999999999773</v>
      </c>
      <c r="AK10" s="15">
        <f t="shared" si="5"/>
        <v>0.25554842985234716</v>
      </c>
      <c r="AL10" s="15">
        <f t="shared" si="6"/>
        <v>6.5305000000000002E-2</v>
      </c>
      <c r="AM10" s="3">
        <v>1.53</v>
      </c>
      <c r="AN10" s="20">
        <f t="shared" si="7"/>
        <v>0.34810000000000274</v>
      </c>
      <c r="AO10" s="1" t="s">
        <v>254</v>
      </c>
      <c r="AT10" s="1" t="s">
        <v>101</v>
      </c>
      <c r="AU10" s="46" t="s">
        <v>46</v>
      </c>
      <c r="AV10" s="3" t="s">
        <v>169</v>
      </c>
      <c r="AW10" s="3">
        <v>358</v>
      </c>
      <c r="AX10" s="1" t="s">
        <v>91</v>
      </c>
      <c r="AY10" s="15">
        <v>69.483999999999995</v>
      </c>
      <c r="AZ10" s="15">
        <v>0.19400000000000001</v>
      </c>
      <c r="BA10" s="15">
        <v>69.614999999999995</v>
      </c>
      <c r="BB10" s="15">
        <v>0.04</v>
      </c>
      <c r="BC10" s="15">
        <f t="shared" si="8"/>
        <v>-0.13100000000000023</v>
      </c>
      <c r="BD10" s="15">
        <f t="shared" si="9"/>
        <v>0.19808079159777203</v>
      </c>
      <c r="BE10" s="15">
        <f t="shared" si="10"/>
        <v>3.9235999999999993E-2</v>
      </c>
      <c r="BF10" s="3">
        <v>1.53</v>
      </c>
      <c r="BG10" s="20">
        <f t="shared" si="11"/>
        <v>2.7589210000000008</v>
      </c>
      <c r="BH10" s="1" t="s">
        <v>244</v>
      </c>
    </row>
    <row r="11" spans="1:60">
      <c r="A11" s="3"/>
      <c r="B11" s="3"/>
      <c r="C11" s="3"/>
      <c r="D11" s="3" t="s">
        <v>171</v>
      </c>
      <c r="E11" s="3">
        <v>402</v>
      </c>
      <c r="F11" s="3">
        <v>0.47</v>
      </c>
      <c r="J11" s="46" t="s">
        <v>45</v>
      </c>
      <c r="K11" s="46" t="s">
        <v>46</v>
      </c>
      <c r="L11" s="6" t="s">
        <v>175</v>
      </c>
      <c r="M11" s="46" t="s">
        <v>185</v>
      </c>
      <c r="N11" s="46" t="s">
        <v>189</v>
      </c>
      <c r="O11" s="15">
        <v>14.933999999999999</v>
      </c>
      <c r="P11" s="15">
        <v>0.13700000000000001</v>
      </c>
      <c r="Q11" s="15">
        <v>14.872</v>
      </c>
      <c r="R11" s="15">
        <v>0.108</v>
      </c>
      <c r="S11" s="15">
        <f t="shared" si="0"/>
        <v>6.1999999999999389E-2</v>
      </c>
      <c r="T11" s="15">
        <f t="shared" si="1"/>
        <v>0.17445056606385662</v>
      </c>
      <c r="U11" s="15">
        <f t="shared" si="2"/>
        <v>3.0433000000000002E-2</v>
      </c>
      <c r="V11" s="3">
        <v>0.19</v>
      </c>
      <c r="W11" s="20">
        <f t="shared" si="3"/>
        <v>1.6384000000000155E-2</v>
      </c>
      <c r="X11" s="20" t="s">
        <v>234</v>
      </c>
      <c r="AA11" s="1" t="s">
        <v>235</v>
      </c>
      <c r="AB11" s="46" t="s">
        <v>46</v>
      </c>
      <c r="AC11" s="3" t="s">
        <v>170</v>
      </c>
      <c r="AD11" s="3" t="s">
        <v>201</v>
      </c>
      <c r="AE11" s="1" t="s">
        <v>205</v>
      </c>
      <c r="AF11" s="58">
        <v>11.920999999999999</v>
      </c>
      <c r="AG11" s="58">
        <v>0.108</v>
      </c>
      <c r="AH11" s="58">
        <v>11.971</v>
      </c>
      <c r="AI11" s="58">
        <v>4.2999999999999997E-2</v>
      </c>
      <c r="AJ11" s="15">
        <f t="shared" si="4"/>
        <v>-5.0000000000000711E-2</v>
      </c>
      <c r="AK11" s="15">
        <f t="shared" si="5"/>
        <v>0.11624543001770005</v>
      </c>
      <c r="AL11" s="15">
        <f t="shared" si="6"/>
        <v>1.3512999999999999E-2</v>
      </c>
      <c r="AM11" s="3">
        <v>0.06</v>
      </c>
      <c r="AN11" s="20">
        <f t="shared" si="7"/>
        <v>1.2100000000000156E-2</v>
      </c>
      <c r="AO11" s="1" t="s">
        <v>254</v>
      </c>
      <c r="AT11" s="1" t="s">
        <v>101</v>
      </c>
      <c r="AU11" s="46" t="s">
        <v>46</v>
      </c>
      <c r="AV11" s="3" t="s">
        <v>170</v>
      </c>
      <c r="AW11" s="3">
        <v>360</v>
      </c>
      <c r="AX11" s="1" t="s">
        <v>205</v>
      </c>
      <c r="AY11" s="15">
        <v>11.637</v>
      </c>
      <c r="AZ11" s="15">
        <v>5.2999999999999999E-2</v>
      </c>
      <c r="BA11" s="15">
        <v>12.193</v>
      </c>
      <c r="BB11" s="15">
        <v>7.2999999999999995E-2</v>
      </c>
      <c r="BC11" s="15">
        <f t="shared" si="8"/>
        <v>-0.55599999999999916</v>
      </c>
      <c r="BD11" s="15">
        <f t="shared" si="9"/>
        <v>9.0210864090751283E-2</v>
      </c>
      <c r="BE11" s="15">
        <f t="shared" si="10"/>
        <v>8.1379999999999994E-3</v>
      </c>
      <c r="BF11" s="3">
        <v>0.06</v>
      </c>
      <c r="BG11" s="20">
        <f t="shared" si="11"/>
        <v>0.37945599999999902</v>
      </c>
      <c r="BH11" s="1" t="s">
        <v>155</v>
      </c>
    </row>
    <row r="12" spans="1:60">
      <c r="A12" s="3"/>
      <c r="B12" s="3"/>
      <c r="C12" s="3"/>
      <c r="D12" s="3" t="s">
        <v>172</v>
      </c>
      <c r="E12" s="3">
        <v>403</v>
      </c>
      <c r="F12" s="3">
        <v>-0.43</v>
      </c>
      <c r="U12" s="18" t="s">
        <v>67</v>
      </c>
      <c r="V12" s="18"/>
      <c r="W12" s="18" t="s">
        <v>67</v>
      </c>
      <c r="AA12" s="1" t="s">
        <v>235</v>
      </c>
      <c r="AB12" s="46" t="s">
        <v>46</v>
      </c>
      <c r="AC12" s="3" t="s">
        <v>171</v>
      </c>
      <c r="AD12" s="3" t="s">
        <v>86</v>
      </c>
      <c r="AE12" s="1" t="s">
        <v>92</v>
      </c>
      <c r="AF12" s="58">
        <v>-7.6740000000000004</v>
      </c>
      <c r="AG12" s="58">
        <v>0.126</v>
      </c>
      <c r="AH12" s="58">
        <v>-8.4039999999999999</v>
      </c>
      <c r="AI12" s="58">
        <v>0.154</v>
      </c>
      <c r="AJ12" s="15">
        <f t="shared" si="4"/>
        <v>0.72999999999999954</v>
      </c>
      <c r="AK12" s="15">
        <f t="shared" si="5"/>
        <v>0.19897738564972653</v>
      </c>
      <c r="AL12" s="15">
        <f t="shared" si="6"/>
        <v>3.9591999999999995E-2</v>
      </c>
      <c r="AM12" s="3">
        <v>0.47</v>
      </c>
      <c r="AN12" s="20">
        <f t="shared" si="7"/>
        <v>6.7599999999999771E-2</v>
      </c>
      <c r="AO12" s="1" t="s">
        <v>254</v>
      </c>
      <c r="AT12" s="1" t="s">
        <v>101</v>
      </c>
      <c r="AU12" s="46" t="s">
        <v>46</v>
      </c>
      <c r="AV12" s="3" t="s">
        <v>171</v>
      </c>
      <c r="AW12" s="3">
        <v>402</v>
      </c>
      <c r="AX12" s="1" t="s">
        <v>92</v>
      </c>
      <c r="AY12" s="15">
        <v>-7.8780000000000001</v>
      </c>
      <c r="AZ12" s="15">
        <v>0.187</v>
      </c>
      <c r="BA12" s="15">
        <v>-8.3219999999999992</v>
      </c>
      <c r="BB12" s="15">
        <v>7.3999999999999996E-2</v>
      </c>
      <c r="BC12" s="15">
        <f t="shared" si="8"/>
        <v>0.44399999999999906</v>
      </c>
      <c r="BD12" s="15">
        <f t="shared" si="9"/>
        <v>0.20110942295178513</v>
      </c>
      <c r="BE12" s="15">
        <f t="shared" si="10"/>
        <v>4.0445000000000002E-2</v>
      </c>
      <c r="BF12" s="3">
        <v>0.47</v>
      </c>
      <c r="BG12" s="20">
        <f t="shared" si="11"/>
        <v>6.7600000000004744E-4</v>
      </c>
      <c r="BH12" s="1" t="s">
        <v>155</v>
      </c>
    </row>
    <row r="13" spans="1:60">
      <c r="A13" s="3"/>
      <c r="B13" s="5" t="s">
        <v>19</v>
      </c>
      <c r="C13" s="3"/>
      <c r="D13" s="6" t="s">
        <v>173</v>
      </c>
      <c r="E13" s="3">
        <v>404</v>
      </c>
      <c r="F13" s="3">
        <v>-0.27</v>
      </c>
      <c r="U13" s="20">
        <f>SUM(U3:U11)</f>
        <v>0.47803600000000002</v>
      </c>
      <c r="V13" s="1"/>
      <c r="W13" s="20">
        <f>SUM(W3:W11)</f>
        <v>7.6220220000000083</v>
      </c>
      <c r="AA13" s="1" t="s">
        <v>235</v>
      </c>
      <c r="AB13" s="46" t="s">
        <v>46</v>
      </c>
      <c r="AC13" s="3" t="s">
        <v>172</v>
      </c>
      <c r="AD13" s="3" t="s">
        <v>182</v>
      </c>
      <c r="AE13" s="1" t="s">
        <v>93</v>
      </c>
      <c r="AF13" s="58">
        <v>10.567</v>
      </c>
      <c r="AG13" s="58">
        <v>0.20100000000000001</v>
      </c>
      <c r="AH13" s="58">
        <v>10.347</v>
      </c>
      <c r="AI13" s="58">
        <v>7.2999999999999995E-2</v>
      </c>
      <c r="AJ13" s="15">
        <f t="shared" si="4"/>
        <v>0.22000000000000064</v>
      </c>
      <c r="AK13" s="15">
        <f t="shared" si="5"/>
        <v>0.21384573879317775</v>
      </c>
      <c r="AL13" s="15">
        <f t="shared" si="6"/>
        <v>4.5730000000000007E-2</v>
      </c>
      <c r="AM13" s="3">
        <v>-0.43</v>
      </c>
      <c r="AN13" s="20">
        <f t="shared" si="7"/>
        <v>0.42250000000000076</v>
      </c>
      <c r="AO13" s="1" t="s">
        <v>254</v>
      </c>
      <c r="AT13" s="1" t="s">
        <v>101</v>
      </c>
      <c r="AU13" s="46" t="s">
        <v>46</v>
      </c>
      <c r="AV13" s="3" t="s">
        <v>172</v>
      </c>
      <c r="AW13" s="3">
        <v>403</v>
      </c>
      <c r="AX13" s="1" t="s">
        <v>93</v>
      </c>
      <c r="AY13" s="15">
        <v>11.324999999999999</v>
      </c>
      <c r="AZ13" s="15">
        <v>9.5000000000000001E-2</v>
      </c>
      <c r="BA13" s="15">
        <v>10.597</v>
      </c>
      <c r="BB13" s="15">
        <v>6.3E-2</v>
      </c>
      <c r="BC13" s="15">
        <f t="shared" si="8"/>
        <v>0.72799999999999976</v>
      </c>
      <c r="BD13" s="15">
        <f t="shared" si="9"/>
        <v>0.11399122773266371</v>
      </c>
      <c r="BE13" s="15">
        <f t="shared" si="10"/>
        <v>1.2994E-2</v>
      </c>
      <c r="BF13" s="3">
        <v>-0.43</v>
      </c>
      <c r="BG13" s="20">
        <f t="shared" si="11"/>
        <v>1.3409639999999994</v>
      </c>
      <c r="BH13" s="1" t="s">
        <v>155</v>
      </c>
    </row>
    <row r="14" spans="1:60">
      <c r="A14" s="1" t="s">
        <v>21</v>
      </c>
      <c r="B14" s="6"/>
      <c r="C14" s="3"/>
      <c r="D14" s="6" t="s">
        <v>174</v>
      </c>
      <c r="E14" s="3">
        <v>405</v>
      </c>
      <c r="F14" s="3">
        <v>-0.63</v>
      </c>
      <c r="AA14" s="1" t="s">
        <v>101</v>
      </c>
      <c r="AB14" s="46" t="s">
        <v>46</v>
      </c>
      <c r="AC14" s="6" t="s">
        <v>173</v>
      </c>
      <c r="AD14" s="3" t="s">
        <v>183</v>
      </c>
      <c r="AE14" s="1" t="s">
        <v>94</v>
      </c>
      <c r="AF14" s="15">
        <v>13.606999999999999</v>
      </c>
      <c r="AG14" s="15">
        <v>8.2000000000000003E-2</v>
      </c>
      <c r="AH14" s="15">
        <v>11.808999999999999</v>
      </c>
      <c r="AI14" s="15">
        <v>5.1999999999999998E-2</v>
      </c>
      <c r="AJ14" s="15">
        <f t="shared" si="4"/>
        <v>1.798</v>
      </c>
      <c r="AK14" s="15">
        <f t="shared" si="5"/>
        <v>9.709788875150685E-2</v>
      </c>
      <c r="AL14" s="15">
        <f t="shared" si="6"/>
        <v>9.4280000000000006E-3</v>
      </c>
      <c r="AM14" s="3">
        <v>-0.27</v>
      </c>
      <c r="AN14" s="20">
        <f t="shared" si="7"/>
        <v>4.276624</v>
      </c>
      <c r="AO14" s="1" t="s">
        <v>155</v>
      </c>
      <c r="AT14" s="1" t="s">
        <v>101</v>
      </c>
      <c r="AU14" s="46" t="s">
        <v>46</v>
      </c>
      <c r="AV14" s="6" t="s">
        <v>173</v>
      </c>
      <c r="AW14" s="3">
        <v>404</v>
      </c>
      <c r="AX14" s="1" t="s">
        <v>94</v>
      </c>
      <c r="AY14" s="15">
        <v>13.606999999999999</v>
      </c>
      <c r="AZ14" s="15">
        <v>8.2000000000000003E-2</v>
      </c>
      <c r="BA14" s="15">
        <v>11.808999999999999</v>
      </c>
      <c r="BB14" s="15">
        <v>5.1999999999999998E-2</v>
      </c>
      <c r="BC14" s="15">
        <f t="shared" si="8"/>
        <v>1.798</v>
      </c>
      <c r="BD14" s="15">
        <f t="shared" si="9"/>
        <v>9.709788875150685E-2</v>
      </c>
      <c r="BE14" s="15">
        <f t="shared" si="10"/>
        <v>9.4280000000000006E-3</v>
      </c>
      <c r="BF14" s="3">
        <v>-0.27</v>
      </c>
      <c r="BG14" s="20">
        <f t="shared" si="11"/>
        <v>4.276624</v>
      </c>
      <c r="BH14" s="1" t="s">
        <v>155</v>
      </c>
    </row>
    <row r="15" spans="1:60">
      <c r="A15" s="3"/>
      <c r="B15" s="3"/>
      <c r="C15" s="3"/>
      <c r="D15" s="6" t="s">
        <v>175</v>
      </c>
      <c r="E15" s="3">
        <v>407</v>
      </c>
      <c r="F15" s="3">
        <v>0.19</v>
      </c>
      <c r="S15" s="3"/>
      <c r="T15" s="3"/>
      <c r="U15" s="3"/>
      <c r="V15" s="19" t="s">
        <v>68</v>
      </c>
      <c r="W15" s="20">
        <f>SQRT(W13/9)</f>
        <v>0.92026699024431724</v>
      </c>
      <c r="AA15" s="1" t="s">
        <v>101</v>
      </c>
      <c r="AB15" s="46" t="s">
        <v>46</v>
      </c>
      <c r="AC15" s="6" t="s">
        <v>174</v>
      </c>
      <c r="AD15" s="3" t="s">
        <v>184</v>
      </c>
      <c r="AE15" s="1" t="s">
        <v>188</v>
      </c>
      <c r="AF15" s="15">
        <v>10.619</v>
      </c>
      <c r="AG15" s="15">
        <v>8.4000000000000005E-2</v>
      </c>
      <c r="AH15" s="15">
        <v>11.567</v>
      </c>
      <c r="AI15" s="15">
        <v>0.21099999999999999</v>
      </c>
      <c r="AJ15" s="15">
        <f t="shared" si="4"/>
        <v>-0.9480000000000004</v>
      </c>
      <c r="AK15" s="15">
        <f t="shared" si="5"/>
        <v>0.22710570226218452</v>
      </c>
      <c r="AL15" s="15">
        <f t="shared" si="6"/>
        <v>5.1577000000000005E-2</v>
      </c>
      <c r="AM15" s="3">
        <v>-0.63</v>
      </c>
      <c r="AN15" s="20">
        <f t="shared" si="7"/>
        <v>0.10112400000000026</v>
      </c>
      <c r="AO15" s="1" t="s">
        <v>155</v>
      </c>
      <c r="AT15" s="1" t="s">
        <v>101</v>
      </c>
      <c r="AU15" s="46" t="s">
        <v>46</v>
      </c>
      <c r="AV15" s="6" t="s">
        <v>174</v>
      </c>
      <c r="AW15" s="3">
        <v>405</v>
      </c>
      <c r="AX15" s="1" t="s">
        <v>188</v>
      </c>
      <c r="AY15" s="15">
        <v>10.619</v>
      </c>
      <c r="AZ15" s="15">
        <v>8.4000000000000005E-2</v>
      </c>
      <c r="BA15" s="15">
        <v>11.567</v>
      </c>
      <c r="BB15" s="15">
        <v>0.21099999999999999</v>
      </c>
      <c r="BC15" s="15">
        <f t="shared" si="8"/>
        <v>-0.9480000000000004</v>
      </c>
      <c r="BD15" s="15">
        <f t="shared" si="9"/>
        <v>0.22710570226218452</v>
      </c>
      <c r="BE15" s="15">
        <f t="shared" si="10"/>
        <v>5.1577000000000005E-2</v>
      </c>
      <c r="BF15" s="3">
        <v>-0.63</v>
      </c>
      <c r="BG15" s="20">
        <f t="shared" si="11"/>
        <v>0.10112400000000026</v>
      </c>
      <c r="BH15" s="1" t="s">
        <v>155</v>
      </c>
    </row>
    <row r="16" spans="1:60">
      <c r="A16" s="1"/>
      <c r="B16" s="1"/>
      <c r="C16" s="1"/>
      <c r="D16" s="1"/>
      <c r="E16" s="1"/>
      <c r="F16" s="1"/>
      <c r="S16" s="3"/>
      <c r="T16" s="3"/>
      <c r="U16" s="3"/>
      <c r="V16" s="19" t="s">
        <v>40</v>
      </c>
      <c r="W16" s="20">
        <f>SQRT(U13/9)</f>
        <v>0.23046715842199972</v>
      </c>
      <c r="AA16" s="1" t="s">
        <v>101</v>
      </c>
      <c r="AB16" s="46" t="s">
        <v>46</v>
      </c>
      <c r="AC16" s="6" t="s">
        <v>175</v>
      </c>
      <c r="AD16" s="3" t="s">
        <v>185</v>
      </c>
      <c r="AE16" s="1" t="s">
        <v>189</v>
      </c>
      <c r="AF16" s="15">
        <v>14.644</v>
      </c>
      <c r="AG16" s="15">
        <v>5.1999999999999998E-2</v>
      </c>
      <c r="AH16" s="15">
        <v>15.069000000000001</v>
      </c>
      <c r="AI16" s="15">
        <v>0.24299999999999999</v>
      </c>
      <c r="AJ16" s="15">
        <f t="shared" si="4"/>
        <v>-0.42500000000000071</v>
      </c>
      <c r="AK16" s="15">
        <f t="shared" si="5"/>
        <v>0.248501509049744</v>
      </c>
      <c r="AL16" s="15">
        <f t="shared" si="6"/>
        <v>6.1752999999999995E-2</v>
      </c>
      <c r="AM16" s="3">
        <v>0.19</v>
      </c>
      <c r="AN16" s="20">
        <f t="shared" si="7"/>
        <v>0.37822500000000081</v>
      </c>
      <c r="AO16" s="1" t="s">
        <v>155</v>
      </c>
      <c r="AT16" s="1" t="s">
        <v>101</v>
      </c>
      <c r="AU16" s="46" t="s">
        <v>46</v>
      </c>
      <c r="AV16" s="6" t="s">
        <v>175</v>
      </c>
      <c r="AW16" s="3">
        <v>407</v>
      </c>
      <c r="AX16" s="1" t="s">
        <v>189</v>
      </c>
      <c r="AY16" s="15">
        <v>14.644</v>
      </c>
      <c r="AZ16" s="15">
        <v>5.1999999999999998E-2</v>
      </c>
      <c r="BA16" s="15">
        <v>15.069000000000001</v>
      </c>
      <c r="BB16" s="15">
        <v>0.24299999999999999</v>
      </c>
      <c r="BC16" s="15">
        <f t="shared" si="8"/>
        <v>-0.42500000000000071</v>
      </c>
      <c r="BD16" s="15">
        <f t="shared" si="9"/>
        <v>0.248501509049744</v>
      </c>
      <c r="BE16" s="15">
        <f t="shared" si="10"/>
        <v>6.1752999999999995E-2</v>
      </c>
      <c r="BF16" s="3">
        <v>0.19</v>
      </c>
      <c r="BG16" s="20">
        <f t="shared" si="11"/>
        <v>0.37822500000000081</v>
      </c>
      <c r="BH16" s="1" t="s">
        <v>155</v>
      </c>
    </row>
    <row r="17" spans="10:60">
      <c r="S17" s="3"/>
      <c r="T17" s="3"/>
      <c r="U17" s="3"/>
      <c r="AA17" s="1"/>
      <c r="AE17" s="1"/>
      <c r="AF17" s="1"/>
      <c r="AG17" s="1"/>
      <c r="AH17" s="1"/>
      <c r="AI17" s="1"/>
      <c r="AJ17" s="1"/>
      <c r="AK17" s="1"/>
      <c r="AL17" s="18" t="s">
        <v>67</v>
      </c>
      <c r="AM17" s="18"/>
      <c r="AN17" s="18" t="s">
        <v>67</v>
      </c>
      <c r="AO17" s="1"/>
      <c r="BE17" s="18" t="s">
        <v>67</v>
      </c>
      <c r="BF17" s="18"/>
      <c r="BG17" s="18" t="s">
        <v>67</v>
      </c>
    </row>
    <row r="18" spans="10:60">
      <c r="S18" s="3"/>
      <c r="T18" s="3"/>
      <c r="U18" s="3"/>
      <c r="AE18" s="1"/>
      <c r="AF18" s="1"/>
      <c r="AG18" s="1"/>
      <c r="AH18" s="1"/>
      <c r="AI18" s="1"/>
      <c r="AJ18" s="1"/>
      <c r="AK18" s="1"/>
      <c r="AL18" s="20">
        <f>SUM(AL3:AL16)</f>
        <v>0.92006499999999991</v>
      </c>
      <c r="AM18" s="1"/>
      <c r="AN18" s="20">
        <f>SUM(AN3:AN16)</f>
        <v>12.843744000000008</v>
      </c>
      <c r="AO18" s="1"/>
      <c r="BE18" s="20">
        <f>SUM(BE3:BE16)</f>
        <v>0.80597999999999981</v>
      </c>
      <c r="BF18" s="20"/>
      <c r="BG18" s="20">
        <f>SUM(BG3:BG16)</f>
        <v>18.920213</v>
      </c>
    </row>
    <row r="19" spans="10:60">
      <c r="AE19" s="1"/>
      <c r="AF19" s="1"/>
      <c r="AG19" s="1"/>
      <c r="AH19" s="1"/>
      <c r="AI19" s="1"/>
      <c r="AJ19" s="1"/>
      <c r="AK19" s="1"/>
      <c r="AL19" s="1"/>
      <c r="AM19" s="1"/>
      <c r="AN19" s="1"/>
      <c r="AO19" s="1"/>
      <c r="BE19" s="20"/>
      <c r="BF19" s="20"/>
      <c r="BG19" s="20"/>
    </row>
    <row r="20" spans="10:60" ht="17">
      <c r="J20" s="10" t="s">
        <v>69</v>
      </c>
      <c r="K20" s="11"/>
      <c r="L20" s="11"/>
      <c r="M20" s="11"/>
      <c r="N20" s="11"/>
      <c r="O20" s="11"/>
      <c r="P20" s="11"/>
      <c r="Q20" s="11"/>
      <c r="R20" s="11"/>
      <c r="S20" s="11"/>
      <c r="T20" s="11"/>
      <c r="U20" s="11"/>
      <c r="V20" s="11"/>
      <c r="W20" s="11"/>
      <c r="X20" s="11"/>
      <c r="AD20" s="56"/>
      <c r="AE20" s="56"/>
      <c r="AF20" s="57"/>
      <c r="AG20" s="57"/>
      <c r="AH20" s="57"/>
      <c r="AI20" s="57"/>
      <c r="AJ20" s="57"/>
      <c r="AK20" s="57"/>
      <c r="AL20" s="57"/>
      <c r="AM20" s="19" t="s">
        <v>68</v>
      </c>
      <c r="AN20" s="20">
        <f>SQRT(AN18/14)</f>
        <v>0.9578153714126153</v>
      </c>
      <c r="AO20" s="1"/>
      <c r="BE20" s="20"/>
      <c r="BF20" s="19" t="s">
        <v>68</v>
      </c>
      <c r="BG20" s="20">
        <f>SQRT(BG18/14)</f>
        <v>1.1625161442811389</v>
      </c>
    </row>
    <row r="21" spans="10:60">
      <c r="J21" s="12" t="s">
        <v>30</v>
      </c>
      <c r="K21" s="12" t="s">
        <v>31</v>
      </c>
      <c r="L21" s="13" t="s">
        <v>32</v>
      </c>
      <c r="M21" s="12" t="s">
        <v>33</v>
      </c>
      <c r="N21" s="12" t="s">
        <v>34</v>
      </c>
      <c r="O21" s="12" t="s">
        <v>35</v>
      </c>
      <c r="P21" s="12" t="s">
        <v>36</v>
      </c>
      <c r="Q21" s="12" t="s">
        <v>37</v>
      </c>
      <c r="R21" s="12" t="s">
        <v>38</v>
      </c>
      <c r="S21" s="12" t="s">
        <v>39</v>
      </c>
      <c r="T21" s="14" t="s">
        <v>40</v>
      </c>
      <c r="U21" s="12" t="s">
        <v>41</v>
      </c>
      <c r="V21" s="12" t="s">
        <v>42</v>
      </c>
      <c r="W21" s="12" t="s">
        <v>43</v>
      </c>
      <c r="X21" s="12" t="s">
        <v>44</v>
      </c>
      <c r="AD21" s="56"/>
      <c r="AE21" s="56"/>
      <c r="AF21" s="57"/>
      <c r="AG21" s="57"/>
      <c r="AH21" s="57"/>
      <c r="AI21" s="57"/>
      <c r="AJ21" s="57"/>
      <c r="AK21" s="57"/>
      <c r="AL21" s="57"/>
      <c r="AM21" s="19" t="s">
        <v>40</v>
      </c>
      <c r="AN21" s="20">
        <f>SQRT(AL18/14)</f>
        <v>0.25635703339566979</v>
      </c>
      <c r="AO21" s="1"/>
      <c r="AU21" s="44"/>
      <c r="AV21" s="44"/>
      <c r="AW21" s="45"/>
      <c r="AX21" s="45"/>
      <c r="AY21" s="45"/>
      <c r="AZ21" s="45"/>
      <c r="BA21" s="45"/>
      <c r="BB21" s="45"/>
      <c r="BC21" s="45"/>
      <c r="BD21" s="45"/>
      <c r="BE21" s="15"/>
      <c r="BF21" s="19" t="s">
        <v>40</v>
      </c>
      <c r="BG21" s="20">
        <f>SQRT(BE18/14)</f>
        <v>0.23993749185985919</v>
      </c>
    </row>
    <row r="22" spans="10:60">
      <c r="J22" s="46" t="s">
        <v>45</v>
      </c>
      <c r="K22" s="46" t="s">
        <v>70</v>
      </c>
      <c r="L22" s="3" t="s">
        <v>14</v>
      </c>
      <c r="M22" s="46" t="s">
        <v>190</v>
      </c>
      <c r="N22" s="46" t="s">
        <v>195</v>
      </c>
      <c r="O22" s="15">
        <v>-5.577</v>
      </c>
      <c r="P22" s="15">
        <v>0.1</v>
      </c>
      <c r="Q22" s="15">
        <v>-5.4219999999999997</v>
      </c>
      <c r="R22" s="15">
        <v>4.2000000000000003E-2</v>
      </c>
      <c r="S22" s="15">
        <f>(O22-Q22)</f>
        <v>-0.15500000000000025</v>
      </c>
      <c r="T22" s="15">
        <f>SQRT((P22)^2 + (R22)^2)</f>
        <v>0.10846197490364999</v>
      </c>
      <c r="U22" s="15">
        <f>T22^2</f>
        <v>1.1764E-2</v>
      </c>
      <c r="V22" s="3">
        <v>-0.51</v>
      </c>
      <c r="W22" s="20">
        <f>(S22-V22)^2</f>
        <v>0.12602499999999983</v>
      </c>
      <c r="X22" s="20" t="s">
        <v>234</v>
      </c>
      <c r="AD22" s="56"/>
      <c r="AE22" s="56"/>
      <c r="AF22" s="57"/>
      <c r="AG22" s="57"/>
      <c r="AH22" s="57"/>
      <c r="AI22" s="57"/>
      <c r="AJ22" s="57"/>
      <c r="AK22" s="57"/>
      <c r="AL22" s="57"/>
      <c r="AM22" s="1"/>
      <c r="AN22" s="1"/>
      <c r="AO22" s="1"/>
      <c r="AU22" s="44"/>
      <c r="AV22" s="44"/>
      <c r="AW22" s="45"/>
      <c r="AX22" s="45"/>
      <c r="AY22" s="45"/>
      <c r="AZ22" s="45"/>
      <c r="BA22" s="45"/>
      <c r="BB22" s="45"/>
      <c r="BC22" s="45"/>
      <c r="BD22" s="45"/>
      <c r="BE22" s="45"/>
      <c r="BF22" s="45"/>
    </row>
    <row r="23" spans="10:60">
      <c r="J23" s="46" t="s">
        <v>45</v>
      </c>
      <c r="K23" s="46" t="s">
        <v>70</v>
      </c>
      <c r="L23" s="6" t="s">
        <v>163</v>
      </c>
      <c r="M23" s="46" t="s">
        <v>191</v>
      </c>
      <c r="N23" s="46" t="s">
        <v>196</v>
      </c>
      <c r="O23" s="15">
        <v>-8.4209999999999994</v>
      </c>
      <c r="P23" s="15">
        <v>0.18099999999999999</v>
      </c>
      <c r="Q23" s="15">
        <v>-8.3330000000000002</v>
      </c>
      <c r="R23" s="15">
        <v>6.4000000000000001E-2</v>
      </c>
      <c r="S23" s="15">
        <f t="shared" ref="S23:S26" si="12">(O23-Q23)</f>
        <v>-8.799999999999919E-2</v>
      </c>
      <c r="T23" s="15">
        <f t="shared" ref="T23:T26" si="13">SQRT((P23)^2 + (R23)^2)</f>
        <v>0.19198176996788002</v>
      </c>
      <c r="U23" s="15">
        <f t="shared" ref="U23:U26" si="14">T23^2</f>
        <v>3.6857000000000001E-2</v>
      </c>
      <c r="V23" s="3">
        <v>1.1299999999999999</v>
      </c>
      <c r="W23" s="20">
        <f t="shared" ref="W23:W26" si="15">(S23-V23)^2</f>
        <v>1.4835239999999978</v>
      </c>
      <c r="X23" s="20" t="s">
        <v>234</v>
      </c>
      <c r="AD23" s="56"/>
      <c r="AE23" s="56"/>
      <c r="AF23" s="57"/>
      <c r="AG23" s="57"/>
      <c r="AH23" s="57"/>
      <c r="AI23" s="57"/>
      <c r="AJ23" s="57"/>
      <c r="AK23" s="57"/>
      <c r="AL23" s="57"/>
      <c r="AM23" s="1"/>
      <c r="AN23" s="1"/>
      <c r="AO23" s="1"/>
      <c r="AU23" s="44"/>
      <c r="AV23" s="44"/>
      <c r="AW23" s="45"/>
      <c r="AX23" s="45"/>
      <c r="AY23" s="45"/>
      <c r="AZ23" s="45"/>
      <c r="BA23" s="45"/>
      <c r="BB23" s="45"/>
      <c r="BC23" s="45"/>
      <c r="BD23" s="45"/>
      <c r="BE23" s="45"/>
      <c r="BF23" s="45"/>
    </row>
    <row r="24" spans="10:60">
      <c r="J24" s="46" t="s">
        <v>45</v>
      </c>
      <c r="K24" s="46" t="s">
        <v>70</v>
      </c>
      <c r="L24" s="6" t="s">
        <v>164</v>
      </c>
      <c r="M24" s="46" t="s">
        <v>192</v>
      </c>
      <c r="N24" s="46" t="s">
        <v>77</v>
      </c>
      <c r="O24" s="15">
        <v>11.971</v>
      </c>
      <c r="P24" s="15">
        <v>0.11</v>
      </c>
      <c r="Q24" s="15">
        <v>11.637</v>
      </c>
      <c r="R24" s="15">
        <v>0.13</v>
      </c>
      <c r="S24" s="15">
        <f t="shared" si="12"/>
        <v>0.33399999999999963</v>
      </c>
      <c r="T24" s="15">
        <f t="shared" si="13"/>
        <v>0.17029386365926402</v>
      </c>
      <c r="U24" s="15">
        <f t="shared" si="14"/>
        <v>2.9000000000000005E-2</v>
      </c>
      <c r="V24" s="3">
        <v>0.47</v>
      </c>
      <c r="W24" s="20">
        <f t="shared" si="15"/>
        <v>1.8496000000000092E-2</v>
      </c>
      <c r="X24" s="20" t="s">
        <v>234</v>
      </c>
      <c r="AD24" s="56"/>
      <c r="AE24" s="56"/>
      <c r="AF24" s="57"/>
      <c r="AG24" s="57"/>
      <c r="AH24" s="57"/>
      <c r="AI24" s="57"/>
      <c r="AJ24" s="57"/>
      <c r="AK24" s="57"/>
      <c r="AL24" s="57"/>
      <c r="AM24" s="1"/>
      <c r="AN24" s="1"/>
      <c r="AO24" s="1"/>
      <c r="AV24" s="44"/>
      <c r="AW24" s="44"/>
      <c r="AX24" s="45"/>
      <c r="AY24" s="45"/>
      <c r="AZ24" s="45"/>
      <c r="BA24" s="45"/>
      <c r="BB24" s="45"/>
      <c r="BC24" s="45"/>
      <c r="BD24" s="45"/>
      <c r="BE24" s="45"/>
      <c r="BF24" s="45"/>
    </row>
    <row r="25" spans="10:60" ht="17">
      <c r="J25" s="46" t="s">
        <v>45</v>
      </c>
      <c r="K25" s="46" t="s">
        <v>70</v>
      </c>
      <c r="L25" s="6" t="s">
        <v>165</v>
      </c>
      <c r="M25" s="46" t="s">
        <v>193</v>
      </c>
      <c r="N25" s="46" t="s">
        <v>197</v>
      </c>
      <c r="O25" s="15">
        <v>7.8049999999999997</v>
      </c>
      <c r="P25" s="15">
        <v>0.112</v>
      </c>
      <c r="Q25" s="15">
        <v>6.4470000000000001</v>
      </c>
      <c r="R25" s="15">
        <v>0.104</v>
      </c>
      <c r="S25" s="15">
        <f t="shared" si="12"/>
        <v>1.3579999999999997</v>
      </c>
      <c r="T25" s="15">
        <f t="shared" si="13"/>
        <v>0.15283978539634241</v>
      </c>
      <c r="U25" s="15">
        <f t="shared" si="14"/>
        <v>2.3360000000000002E-2</v>
      </c>
      <c r="V25" s="3">
        <v>0.97</v>
      </c>
      <c r="W25" s="20">
        <f t="shared" si="15"/>
        <v>0.15054399999999976</v>
      </c>
      <c r="X25" s="20" t="s">
        <v>234</v>
      </c>
      <c r="AA25" s="10" t="s">
        <v>102</v>
      </c>
      <c r="AB25" s="11"/>
      <c r="AC25" s="11"/>
      <c r="AD25" s="11"/>
      <c r="AE25" s="11"/>
      <c r="AF25" s="11"/>
      <c r="AG25" s="11"/>
      <c r="AH25" s="11"/>
      <c r="AI25" s="11"/>
      <c r="AJ25" s="11"/>
      <c r="AK25" s="11"/>
      <c r="AL25" s="11"/>
      <c r="AM25" s="11"/>
      <c r="AN25" s="11"/>
      <c r="AO25" s="11"/>
    </row>
    <row r="26" spans="10:60">
      <c r="J26" s="46" t="s">
        <v>45</v>
      </c>
      <c r="K26" s="46" t="s">
        <v>70</v>
      </c>
      <c r="L26" s="6" t="s">
        <v>12</v>
      </c>
      <c r="M26" s="46" t="s">
        <v>194</v>
      </c>
      <c r="N26" s="46" t="s">
        <v>198</v>
      </c>
      <c r="O26" s="15">
        <v>-24.151</v>
      </c>
      <c r="P26" s="15">
        <v>0.215</v>
      </c>
      <c r="Q26" s="15">
        <v>-24.492000000000001</v>
      </c>
      <c r="R26" s="15">
        <v>0.192</v>
      </c>
      <c r="S26" s="15">
        <f t="shared" si="12"/>
        <v>0.34100000000000108</v>
      </c>
      <c r="T26" s="15">
        <f t="shared" si="13"/>
        <v>0.28825162618795402</v>
      </c>
      <c r="U26" s="15">
        <f t="shared" si="14"/>
        <v>8.3088999999999982E-2</v>
      </c>
      <c r="V26" s="3">
        <v>0.02</v>
      </c>
      <c r="W26" s="20">
        <f t="shared" si="15"/>
        <v>0.10304100000000069</v>
      </c>
      <c r="X26" s="20" t="s">
        <v>234</v>
      </c>
      <c r="AA26" s="12" t="s">
        <v>30</v>
      </c>
      <c r="AB26" s="12" t="s">
        <v>31</v>
      </c>
      <c r="AC26" s="13" t="s">
        <v>32</v>
      </c>
      <c r="AD26" s="12" t="s">
        <v>33</v>
      </c>
      <c r="AE26" s="12" t="s">
        <v>34</v>
      </c>
      <c r="AF26" s="12" t="s">
        <v>35</v>
      </c>
      <c r="AG26" s="12" t="s">
        <v>36</v>
      </c>
      <c r="AH26" s="12" t="s">
        <v>37</v>
      </c>
      <c r="AI26" s="12" t="s">
        <v>38</v>
      </c>
      <c r="AJ26" s="12" t="s">
        <v>39</v>
      </c>
      <c r="AK26" s="14" t="s">
        <v>40</v>
      </c>
      <c r="AL26" s="12" t="s">
        <v>41</v>
      </c>
      <c r="AM26" s="12" t="s">
        <v>42</v>
      </c>
      <c r="AN26" s="12" t="s">
        <v>43</v>
      </c>
      <c r="AO26" s="12" t="s">
        <v>44</v>
      </c>
    </row>
    <row r="27" spans="10:60" ht="17">
      <c r="J27" s="46"/>
      <c r="K27" s="46"/>
      <c r="S27" s="3"/>
      <c r="T27" s="3"/>
      <c r="U27" s="18" t="s">
        <v>67</v>
      </c>
      <c r="V27" s="18"/>
      <c r="W27" s="18" t="s">
        <v>67</v>
      </c>
      <c r="AA27" s="1" t="s">
        <v>82</v>
      </c>
      <c r="AB27" s="46" t="s">
        <v>70</v>
      </c>
      <c r="AC27" s="3" t="s">
        <v>14</v>
      </c>
      <c r="AD27" s="3" t="s">
        <v>190</v>
      </c>
      <c r="AE27" s="59" t="s">
        <v>195</v>
      </c>
      <c r="AF27" s="15">
        <v>-5.5309999999999997</v>
      </c>
      <c r="AG27" s="15">
        <v>0.28499999999999998</v>
      </c>
      <c r="AH27" s="15">
        <v>-5.2270000000000003</v>
      </c>
      <c r="AI27" s="15">
        <v>8.2000000000000003E-2</v>
      </c>
      <c r="AJ27" s="15">
        <f>AF27-AH27</f>
        <v>-0.30399999999999938</v>
      </c>
      <c r="AK27" s="15">
        <f>SQRT((AG27)^2 + (AI27)^2)</f>
        <v>0.29656196654325045</v>
      </c>
      <c r="AL27" s="15">
        <f>AK27^2</f>
        <v>8.7948999999999999E-2</v>
      </c>
      <c r="AM27" s="3">
        <v>-0.51</v>
      </c>
      <c r="AN27" s="20">
        <f>(AJ27-AM27)^2</f>
        <v>4.2436000000000258E-2</v>
      </c>
      <c r="AO27" s="1" t="s">
        <v>254</v>
      </c>
      <c r="AT27" s="10" t="s">
        <v>112</v>
      </c>
      <c r="AU27" s="11"/>
      <c r="AV27" s="11"/>
      <c r="AW27" s="11"/>
      <c r="AX27" s="11"/>
      <c r="AY27" s="11"/>
      <c r="AZ27" s="11"/>
      <c r="BA27" s="11"/>
      <c r="BB27" s="11"/>
      <c r="BC27" s="11"/>
      <c r="BD27" s="11"/>
      <c r="BE27" s="11"/>
      <c r="BF27" s="11"/>
      <c r="BG27" s="11"/>
      <c r="BH27" s="11"/>
    </row>
    <row r="28" spans="10:60">
      <c r="S28" s="3"/>
      <c r="T28" s="3"/>
      <c r="U28" s="8">
        <f>SUM(U22:U26)</f>
        <v>0.18406999999999998</v>
      </c>
      <c r="W28" s="20">
        <f>SUM(W22:W26)</f>
        <v>1.8816299999999981</v>
      </c>
      <c r="AA28" s="1" t="s">
        <v>101</v>
      </c>
      <c r="AB28" s="46" t="s">
        <v>70</v>
      </c>
      <c r="AC28" s="6" t="s">
        <v>163</v>
      </c>
      <c r="AD28" s="3" t="s">
        <v>191</v>
      </c>
      <c r="AE28" s="59" t="s">
        <v>196</v>
      </c>
      <c r="AF28" s="15">
        <v>-8.8770000000000007</v>
      </c>
      <c r="AG28" s="15">
        <v>9.1999999999999998E-2</v>
      </c>
      <c r="AH28" s="15">
        <v>-8.9920000000000009</v>
      </c>
      <c r="AI28" s="15">
        <v>6.6000000000000003E-2</v>
      </c>
      <c r="AJ28" s="15">
        <f t="shared" ref="AJ28:AJ31" si="16">AF28-AH28</f>
        <v>0.11500000000000021</v>
      </c>
      <c r="AK28" s="15">
        <f t="shared" ref="AK28:AK31" si="17">SQRT((AG28)^2 + (AI28)^2)</f>
        <v>0.11322543883774529</v>
      </c>
      <c r="AL28" s="15">
        <f t="shared" ref="AL28:AL31" si="18">AK28^2</f>
        <v>1.2819999999999998E-2</v>
      </c>
      <c r="AM28" s="3">
        <v>1.1299999999999999</v>
      </c>
      <c r="AN28" s="20">
        <f t="shared" ref="AN28:AN31" si="19">(AJ28-AM28)^2</f>
        <v>1.0302249999999993</v>
      </c>
      <c r="AO28" s="1" t="s">
        <v>155</v>
      </c>
      <c r="AT28" s="12" t="s">
        <v>30</v>
      </c>
      <c r="AU28" s="12" t="s">
        <v>31</v>
      </c>
      <c r="AV28" s="13" t="s">
        <v>32</v>
      </c>
      <c r="AW28" s="12" t="s">
        <v>33</v>
      </c>
      <c r="AX28" s="12" t="s">
        <v>34</v>
      </c>
      <c r="AY28" s="12" t="s">
        <v>35</v>
      </c>
      <c r="AZ28" s="12" t="s">
        <v>36</v>
      </c>
      <c r="BA28" s="12" t="s">
        <v>37</v>
      </c>
      <c r="BB28" s="12" t="s">
        <v>38</v>
      </c>
      <c r="BC28" s="12" t="s">
        <v>39</v>
      </c>
      <c r="BD28" s="14" t="s">
        <v>40</v>
      </c>
      <c r="BE28" s="12" t="s">
        <v>41</v>
      </c>
      <c r="BF28" s="12" t="s">
        <v>42</v>
      </c>
      <c r="BG28" s="12" t="s">
        <v>43</v>
      </c>
      <c r="BH28" s="12" t="s">
        <v>44</v>
      </c>
    </row>
    <row r="29" spans="10:60">
      <c r="AA29" s="1" t="s">
        <v>101</v>
      </c>
      <c r="AB29" s="46" t="s">
        <v>70</v>
      </c>
      <c r="AC29" s="6" t="s">
        <v>164</v>
      </c>
      <c r="AD29" s="3" t="s">
        <v>192</v>
      </c>
      <c r="AE29" s="59" t="s">
        <v>77</v>
      </c>
      <c r="AF29" s="15">
        <v>11.291</v>
      </c>
      <c r="AG29" s="15">
        <v>7.6999999999999999E-2</v>
      </c>
      <c r="AH29" s="15">
        <v>11.45</v>
      </c>
      <c r="AI29" s="15">
        <v>4.8000000000000001E-2</v>
      </c>
      <c r="AJ29" s="15">
        <f t="shared" si="16"/>
        <v>-0.15899999999999892</v>
      </c>
      <c r="AK29" s="15">
        <f t="shared" si="17"/>
        <v>9.0735880444287306E-2</v>
      </c>
      <c r="AL29" s="15">
        <f t="shared" si="18"/>
        <v>8.232999999999999E-3</v>
      </c>
      <c r="AM29" s="3">
        <v>0.47</v>
      </c>
      <c r="AN29" s="20">
        <f t="shared" si="19"/>
        <v>0.39564099999999863</v>
      </c>
      <c r="AO29" s="1" t="s">
        <v>155</v>
      </c>
      <c r="AT29" s="1" t="s">
        <v>101</v>
      </c>
      <c r="AU29" s="46" t="s">
        <v>70</v>
      </c>
      <c r="AV29" s="3" t="s">
        <v>14</v>
      </c>
      <c r="AW29" s="3">
        <v>526</v>
      </c>
      <c r="AX29" s="59" t="s">
        <v>195</v>
      </c>
      <c r="AY29" s="15">
        <v>-5.2809999999999997</v>
      </c>
      <c r="AZ29" s="15">
        <v>7.6999999999999999E-2</v>
      </c>
      <c r="BA29" s="15">
        <v>-5.2610000000000001</v>
      </c>
      <c r="BB29" s="15">
        <v>7.1999999999999995E-2</v>
      </c>
      <c r="BC29" s="15">
        <v>-0.02</v>
      </c>
      <c r="BD29" s="15">
        <v>0.105370774</v>
      </c>
      <c r="BE29" s="15">
        <v>1.1103E-2</v>
      </c>
      <c r="BF29" s="8">
        <v>-0.51</v>
      </c>
      <c r="BG29" s="20">
        <f>(BC29-BF29)^2</f>
        <v>0.24009999999999998</v>
      </c>
      <c r="BH29" s="1" t="s">
        <v>155</v>
      </c>
    </row>
    <row r="30" spans="10:60">
      <c r="V30" s="19" t="s">
        <v>68</v>
      </c>
      <c r="W30" s="20">
        <f>SQRT(W28/5)</f>
        <v>0.61345415476627074</v>
      </c>
      <c r="AA30" s="1" t="s">
        <v>101</v>
      </c>
      <c r="AB30" s="46" t="s">
        <v>70</v>
      </c>
      <c r="AC30" s="6" t="s">
        <v>165</v>
      </c>
      <c r="AD30" s="3" t="s">
        <v>193</v>
      </c>
      <c r="AE30" s="59" t="s">
        <v>197</v>
      </c>
      <c r="AF30" s="15">
        <v>7.1749999999999998</v>
      </c>
      <c r="AG30" s="15">
        <v>0.30199999999999999</v>
      </c>
      <c r="AH30" s="15">
        <v>6.5270000000000001</v>
      </c>
      <c r="AI30" s="15">
        <v>0.14699999999999999</v>
      </c>
      <c r="AJ30" s="15">
        <f t="shared" si="16"/>
        <v>0.64799999999999969</v>
      </c>
      <c r="AK30" s="15">
        <f t="shared" si="17"/>
        <v>0.33587646538571292</v>
      </c>
      <c r="AL30" s="15">
        <f t="shared" si="18"/>
        <v>0.11281300000000001</v>
      </c>
      <c r="AM30" s="3">
        <v>0.97</v>
      </c>
      <c r="AN30" s="20">
        <f t="shared" si="19"/>
        <v>0.10368400000000018</v>
      </c>
      <c r="AO30" s="1" t="s">
        <v>155</v>
      </c>
      <c r="AT30" s="1" t="s">
        <v>101</v>
      </c>
      <c r="AU30" s="46" t="s">
        <v>70</v>
      </c>
      <c r="AV30" s="6" t="s">
        <v>163</v>
      </c>
      <c r="AW30" s="3">
        <v>551</v>
      </c>
      <c r="AX30" s="59" t="s">
        <v>196</v>
      </c>
      <c r="AY30" s="15">
        <v>-8.8770000000000007</v>
      </c>
      <c r="AZ30" s="15">
        <v>9.1999999999999998E-2</v>
      </c>
      <c r="BA30" s="15">
        <v>-8.9920000000000009</v>
      </c>
      <c r="BB30" s="15">
        <v>6.6000000000000003E-2</v>
      </c>
      <c r="BC30" s="15">
        <v>0.115</v>
      </c>
      <c r="BD30" s="15">
        <v>0.112769677</v>
      </c>
      <c r="BE30" s="15">
        <v>1.2716999999999999E-2</v>
      </c>
      <c r="BF30" s="8">
        <v>1.1299999999999999</v>
      </c>
      <c r="BG30" s="20">
        <f t="shared" ref="BG30:BG33" si="20">(BC30-BF30)^2</f>
        <v>1.0302249999999997</v>
      </c>
      <c r="BH30" s="1" t="s">
        <v>155</v>
      </c>
    </row>
    <row r="31" spans="10:60">
      <c r="V31" s="19" t="s">
        <v>40</v>
      </c>
      <c r="W31" s="20">
        <f>SQRT(U28/5)</f>
        <v>0.19186974748511032</v>
      </c>
      <c r="AA31" s="1" t="s">
        <v>101</v>
      </c>
      <c r="AB31" s="46" t="s">
        <v>70</v>
      </c>
      <c r="AC31" s="6" t="s">
        <v>12</v>
      </c>
      <c r="AD31" s="3" t="s">
        <v>194</v>
      </c>
      <c r="AE31" s="1" t="s">
        <v>198</v>
      </c>
      <c r="AF31" s="15">
        <v>-24.902000000000001</v>
      </c>
      <c r="AG31" s="15">
        <v>0.10299999999999999</v>
      </c>
      <c r="AH31" s="15">
        <v>-23.87</v>
      </c>
      <c r="AI31" s="15">
        <v>0.13300000000000001</v>
      </c>
      <c r="AJ31" s="15">
        <f t="shared" si="16"/>
        <v>-1.032</v>
      </c>
      <c r="AK31" s="15">
        <f t="shared" si="17"/>
        <v>0.1682200939245963</v>
      </c>
      <c r="AL31" s="15">
        <f t="shared" si="18"/>
        <v>2.8298000000000004E-2</v>
      </c>
      <c r="AM31" s="3">
        <v>0.02</v>
      </c>
      <c r="AN31" s="20">
        <f t="shared" si="19"/>
        <v>1.1067040000000001</v>
      </c>
      <c r="AO31" s="1" t="s">
        <v>155</v>
      </c>
      <c r="AT31" s="1" t="s">
        <v>101</v>
      </c>
      <c r="AU31" s="46" t="s">
        <v>70</v>
      </c>
      <c r="AV31" s="6" t="s">
        <v>164</v>
      </c>
      <c r="AW31" s="3">
        <v>552</v>
      </c>
      <c r="AX31" s="59" t="s">
        <v>77</v>
      </c>
      <c r="AY31" s="15">
        <v>11.291</v>
      </c>
      <c r="AZ31" s="15">
        <v>7.6999999999999999E-2</v>
      </c>
      <c r="BA31" s="15">
        <v>11.45</v>
      </c>
      <c r="BB31" s="15">
        <v>4.8000000000000001E-2</v>
      </c>
      <c r="BC31" s="15">
        <v>-0.159</v>
      </c>
      <c r="BD31" s="15">
        <v>9.0664216000000006E-2</v>
      </c>
      <c r="BE31" s="15">
        <v>8.2199999999999999E-3</v>
      </c>
      <c r="BF31" s="8">
        <v>0.47</v>
      </c>
      <c r="BG31" s="20">
        <f t="shared" si="20"/>
        <v>0.39564100000000002</v>
      </c>
      <c r="BH31" s="1" t="s">
        <v>155</v>
      </c>
    </row>
    <row r="32" spans="10:60">
      <c r="AA32" s="1"/>
      <c r="AB32" s="1"/>
      <c r="AC32" s="1"/>
      <c r="AD32" s="1"/>
      <c r="AE32" s="1"/>
      <c r="AF32" s="1"/>
      <c r="AG32" s="1"/>
      <c r="AH32" s="1"/>
      <c r="AI32" s="1"/>
      <c r="AJ32" s="1"/>
      <c r="AK32" s="1"/>
      <c r="AL32" s="18" t="s">
        <v>67</v>
      </c>
      <c r="AM32" s="18"/>
      <c r="AN32" s="18" t="s">
        <v>67</v>
      </c>
      <c r="AO32" s="1"/>
      <c r="AT32" s="1" t="s">
        <v>101</v>
      </c>
      <c r="AU32" s="46" t="s">
        <v>70</v>
      </c>
      <c r="AV32" s="6" t="s">
        <v>165</v>
      </c>
      <c r="AW32" s="3">
        <v>612</v>
      </c>
      <c r="AX32" s="59" t="s">
        <v>197</v>
      </c>
      <c r="AY32" s="15">
        <v>7.1749999999999998</v>
      </c>
      <c r="AZ32" s="15">
        <v>0.30199999999999999</v>
      </c>
      <c r="BA32" s="15">
        <v>6.5270000000000001</v>
      </c>
      <c r="BB32" s="15">
        <v>0.14699999999999999</v>
      </c>
      <c r="BC32" s="15">
        <v>0.64800000000000002</v>
      </c>
      <c r="BD32" s="15">
        <v>0.33617554900000002</v>
      </c>
      <c r="BE32" s="15">
        <v>0.113014</v>
      </c>
      <c r="BF32" s="8">
        <v>0.97</v>
      </c>
      <c r="BG32" s="20">
        <f t="shared" si="20"/>
        <v>0.10368399999999997</v>
      </c>
      <c r="BH32" s="1" t="s">
        <v>155</v>
      </c>
    </row>
    <row r="33" spans="10:60">
      <c r="AA33" s="1"/>
      <c r="AB33" s="1"/>
      <c r="AC33" s="1"/>
      <c r="AD33" s="1"/>
      <c r="AE33" s="1"/>
      <c r="AF33" s="1"/>
      <c r="AG33" s="1"/>
      <c r="AH33" s="1"/>
      <c r="AI33" s="1"/>
      <c r="AJ33" s="1"/>
      <c r="AK33" s="1"/>
      <c r="AL33" s="20">
        <f>SUM(AL27:AL31)</f>
        <v>0.25011300000000003</v>
      </c>
      <c r="AM33" s="1"/>
      <c r="AN33" s="20">
        <f>SUM(AN27:AN31)</f>
        <v>2.6786899999999987</v>
      </c>
      <c r="AO33" s="1"/>
      <c r="AT33" s="1" t="s">
        <v>101</v>
      </c>
      <c r="AU33" s="46" t="s">
        <v>70</v>
      </c>
      <c r="AV33" s="6" t="s">
        <v>12</v>
      </c>
      <c r="AW33" s="3">
        <v>614</v>
      </c>
      <c r="AX33" s="1" t="s">
        <v>198</v>
      </c>
      <c r="AY33" s="15">
        <v>-24.902000000000001</v>
      </c>
      <c r="AZ33" s="15">
        <v>0.10299999999999999</v>
      </c>
      <c r="BA33" s="15">
        <v>-23.87</v>
      </c>
      <c r="BB33" s="15">
        <v>0.13300000000000001</v>
      </c>
      <c r="BC33" s="15">
        <v>-1.032</v>
      </c>
      <c r="BD33" s="15">
        <v>0.16825278599999999</v>
      </c>
      <c r="BE33" s="15">
        <v>2.8309000000000001E-2</v>
      </c>
      <c r="BF33" s="8">
        <v>0.02</v>
      </c>
      <c r="BG33" s="20">
        <f t="shared" si="20"/>
        <v>1.1067040000000001</v>
      </c>
      <c r="BH33" s="1" t="s">
        <v>155</v>
      </c>
    </row>
    <row r="34" spans="10:60" ht="17">
      <c r="J34" s="10" t="s">
        <v>79</v>
      </c>
      <c r="K34" s="11"/>
      <c r="L34" s="11"/>
      <c r="M34" s="11"/>
      <c r="N34" s="11"/>
      <c r="O34" s="11"/>
      <c r="P34" s="11"/>
      <c r="Q34" s="11"/>
      <c r="R34" s="11"/>
      <c r="S34" s="11"/>
      <c r="T34" s="11"/>
      <c r="U34" s="11"/>
      <c r="V34" s="11"/>
      <c r="W34" s="11"/>
      <c r="AA34" s="1"/>
      <c r="AB34" s="1"/>
      <c r="AC34" s="1"/>
      <c r="AD34" s="1"/>
      <c r="AE34" s="1"/>
      <c r="AF34" s="1"/>
      <c r="AG34" s="1"/>
      <c r="AH34" s="1"/>
      <c r="AI34" s="1"/>
      <c r="AJ34" s="1"/>
      <c r="AK34" s="1"/>
      <c r="AL34" s="1"/>
      <c r="AM34" s="1"/>
      <c r="AN34" s="1"/>
      <c r="AO34" s="1"/>
      <c r="AY34" s="20"/>
      <c r="AZ34" s="20"/>
      <c r="BA34" s="20"/>
      <c r="BB34" s="20"/>
      <c r="BC34" s="20"/>
      <c r="BD34" s="20"/>
      <c r="BE34" s="18" t="s">
        <v>67</v>
      </c>
      <c r="BF34" s="18"/>
      <c r="BG34" s="18" t="s">
        <v>67</v>
      </c>
      <c r="BH34" s="20"/>
    </row>
    <row r="35" spans="10:60">
      <c r="J35" s="12" t="s">
        <v>30</v>
      </c>
      <c r="K35" s="12" t="s">
        <v>31</v>
      </c>
      <c r="L35" s="13" t="s">
        <v>32</v>
      </c>
      <c r="M35" s="12" t="s">
        <v>33</v>
      </c>
      <c r="N35" s="12" t="s">
        <v>34</v>
      </c>
      <c r="O35" s="12" t="s">
        <v>35</v>
      </c>
      <c r="P35" s="12" t="s">
        <v>36</v>
      </c>
      <c r="Q35" s="12" t="s">
        <v>37</v>
      </c>
      <c r="R35" s="12" t="s">
        <v>38</v>
      </c>
      <c r="S35" s="12" t="s">
        <v>39</v>
      </c>
      <c r="T35" s="14" t="s">
        <v>40</v>
      </c>
      <c r="U35" s="12" t="s">
        <v>41</v>
      </c>
      <c r="V35" s="12" t="s">
        <v>42</v>
      </c>
      <c r="W35" s="12" t="s">
        <v>43</v>
      </c>
      <c r="AA35" s="1"/>
      <c r="AB35" s="1"/>
      <c r="AC35" s="1"/>
      <c r="AD35" s="1"/>
      <c r="AE35" s="1"/>
      <c r="AF35" s="1"/>
      <c r="AG35" s="1"/>
      <c r="AH35" s="1"/>
      <c r="AI35" s="1"/>
      <c r="AJ35" s="1"/>
      <c r="AK35" s="1"/>
      <c r="AL35" s="1"/>
      <c r="AM35" s="19" t="s">
        <v>68</v>
      </c>
      <c r="AN35" s="20">
        <f>SQRT(AN33/5)</f>
        <v>0.73194125447333525</v>
      </c>
      <c r="AO35" s="1"/>
      <c r="AY35" s="20"/>
      <c r="AZ35" s="20"/>
      <c r="BA35" s="20"/>
      <c r="BB35" s="20"/>
      <c r="BC35" s="20"/>
      <c r="BD35" s="20"/>
      <c r="BE35" s="20">
        <f>SUM(BE29:BE33)</f>
        <v>0.17336300000000002</v>
      </c>
      <c r="BF35" s="20"/>
      <c r="BG35" s="20">
        <f>SUM(BG29:BG33)</f>
        <v>2.8763539999999996</v>
      </c>
      <c r="BH35" s="20"/>
    </row>
    <row r="36" spans="10:60">
      <c r="J36" s="46" t="s">
        <v>45</v>
      </c>
      <c r="K36" s="46" t="s">
        <v>46</v>
      </c>
      <c r="L36" s="3" t="s">
        <v>166</v>
      </c>
      <c r="M36" s="46" t="s">
        <v>177</v>
      </c>
      <c r="N36" s="46" t="s">
        <v>58</v>
      </c>
      <c r="O36" s="15">
        <v>-3.9929999999999999</v>
      </c>
      <c r="P36" s="15">
        <v>0.182</v>
      </c>
      <c r="Q36" s="15">
        <v>-4.2080000000000002</v>
      </c>
      <c r="R36" s="15">
        <v>0.17499999999999999</v>
      </c>
      <c r="S36" s="15">
        <f>(O36-Q36)</f>
        <v>0.2150000000000003</v>
      </c>
      <c r="T36" s="15">
        <f>SQRT((P36)^2 + (R36)^2)</f>
        <v>0.25248564315620009</v>
      </c>
      <c r="U36" s="15">
        <f>T36^2</f>
        <v>6.3749000000000014E-2</v>
      </c>
      <c r="V36" s="3">
        <v>-0.82</v>
      </c>
      <c r="W36" s="20">
        <f>(S36-V36)^2</f>
        <v>1.0712250000000003</v>
      </c>
      <c r="AA36" s="1"/>
      <c r="AB36" s="1"/>
      <c r="AC36" s="1"/>
      <c r="AD36" s="1"/>
      <c r="AE36" s="1"/>
      <c r="AF36" s="1"/>
      <c r="AG36" s="1"/>
      <c r="AH36" s="1"/>
      <c r="AI36" s="1"/>
      <c r="AJ36" s="1"/>
      <c r="AK36" s="1"/>
      <c r="AL36" s="1"/>
      <c r="AM36" s="19" t="s">
        <v>40</v>
      </c>
      <c r="AN36" s="20">
        <f>SQRT(AL33/5)</f>
        <v>0.22365732717709028</v>
      </c>
      <c r="AO36" s="1"/>
      <c r="AY36" s="20"/>
      <c r="AZ36" s="20"/>
      <c r="BA36" s="20"/>
      <c r="BB36" s="20"/>
      <c r="BC36" s="20"/>
      <c r="BD36" s="20"/>
      <c r="BE36" s="20"/>
      <c r="BF36" s="20"/>
      <c r="BG36" s="20"/>
      <c r="BH36" s="20"/>
    </row>
    <row r="37" spans="10:60" ht="17">
      <c r="J37" s="46" t="s">
        <v>45</v>
      </c>
      <c r="K37" s="46" t="s">
        <v>46</v>
      </c>
      <c r="L37" s="3" t="s">
        <v>13</v>
      </c>
      <c r="M37" s="46" t="s">
        <v>179</v>
      </c>
      <c r="N37" s="46" t="s">
        <v>187</v>
      </c>
      <c r="O37" s="15">
        <v>16.452000000000002</v>
      </c>
      <c r="P37" s="15">
        <v>0.247</v>
      </c>
      <c r="Q37" s="15">
        <v>13.786</v>
      </c>
      <c r="R37" s="15">
        <v>7.6999999999999999E-2</v>
      </c>
      <c r="S37" s="15">
        <f t="shared" ref="S37:S44" si="21">(O37-Q37)</f>
        <v>2.6660000000000021</v>
      </c>
      <c r="T37" s="15">
        <f t="shared" ref="T37:T44" si="22">SQRT((P37)^2 + (R37)^2)</f>
        <v>0.25872379094316006</v>
      </c>
      <c r="U37" s="15">
        <f t="shared" ref="U37:U44" si="23">T37^2</f>
        <v>6.6937999999999998E-2</v>
      </c>
      <c r="V37" s="3">
        <v>0.46</v>
      </c>
      <c r="W37" s="20">
        <f t="shared" ref="W37:W44" si="24">(S37-V37)^2</f>
        <v>4.86643600000001</v>
      </c>
      <c r="AA37" s="10" t="s">
        <v>156</v>
      </c>
      <c r="AB37" s="11"/>
      <c r="AC37" s="11"/>
      <c r="AD37" s="11"/>
      <c r="AE37" s="11"/>
      <c r="AF37" s="11"/>
      <c r="AG37" s="11"/>
      <c r="AH37" s="11"/>
      <c r="AI37" s="11"/>
      <c r="AJ37" s="11"/>
      <c r="AK37" s="11"/>
      <c r="AL37" s="11"/>
      <c r="AM37" s="11"/>
      <c r="AN37" s="11"/>
      <c r="AO37" s="1"/>
      <c r="AY37" s="20"/>
      <c r="AZ37" s="20"/>
      <c r="BA37" s="20"/>
      <c r="BB37" s="20"/>
      <c r="BC37" s="20"/>
      <c r="BD37" s="20"/>
      <c r="BE37" s="20"/>
      <c r="BF37" s="19" t="s">
        <v>68</v>
      </c>
      <c r="BG37" s="20">
        <f>SQRT(BG35/5)</f>
        <v>0.75846608361877332</v>
      </c>
      <c r="BH37" s="20"/>
    </row>
    <row r="38" spans="10:60">
      <c r="J38" s="46" t="s">
        <v>45</v>
      </c>
      <c r="K38" s="46" t="s">
        <v>46</v>
      </c>
      <c r="L38" s="3" t="s">
        <v>168</v>
      </c>
      <c r="M38" s="46" t="s">
        <v>180</v>
      </c>
      <c r="N38" s="46" t="s">
        <v>61</v>
      </c>
      <c r="O38" s="15">
        <v>-4.5519999999999996</v>
      </c>
      <c r="P38" s="15">
        <v>0.224</v>
      </c>
      <c r="Q38" s="15">
        <v>-5.0510000000000002</v>
      </c>
      <c r="R38" s="15">
        <v>3.5999999999999997E-2</v>
      </c>
      <c r="S38" s="15">
        <f t="shared" si="21"/>
        <v>0.49900000000000055</v>
      </c>
      <c r="T38" s="15">
        <f t="shared" si="22"/>
        <v>0.22687441459979574</v>
      </c>
      <c r="U38" s="15">
        <f t="shared" si="23"/>
        <v>5.1472000000000011E-2</v>
      </c>
      <c r="V38" s="3">
        <v>0.99</v>
      </c>
      <c r="W38" s="20">
        <f t="shared" si="24"/>
        <v>0.24108099999999943</v>
      </c>
      <c r="AA38" s="12" t="s">
        <v>30</v>
      </c>
      <c r="AB38" s="12" t="s">
        <v>31</v>
      </c>
      <c r="AC38" s="13" t="s">
        <v>32</v>
      </c>
      <c r="AD38" s="12" t="s">
        <v>33</v>
      </c>
      <c r="AE38" s="12" t="s">
        <v>34</v>
      </c>
      <c r="AF38" s="12" t="s">
        <v>35</v>
      </c>
      <c r="AG38" s="12" t="s">
        <v>36</v>
      </c>
      <c r="AH38" s="12" t="s">
        <v>37</v>
      </c>
      <c r="AI38" s="12" t="s">
        <v>38</v>
      </c>
      <c r="AJ38" s="12" t="s">
        <v>39</v>
      </c>
      <c r="AK38" s="14" t="s">
        <v>40</v>
      </c>
      <c r="AL38" s="12" t="s">
        <v>41</v>
      </c>
      <c r="AM38" s="12" t="s">
        <v>42</v>
      </c>
      <c r="AN38" s="12" t="s">
        <v>43</v>
      </c>
      <c r="AO38" s="1"/>
      <c r="AT38" s="44"/>
      <c r="AU38" s="44"/>
      <c r="AV38" s="45"/>
      <c r="AW38" s="45"/>
      <c r="AX38" s="45"/>
      <c r="AY38" s="15"/>
      <c r="AZ38" s="15"/>
      <c r="BA38" s="15"/>
      <c r="BB38" s="15"/>
      <c r="BC38" s="20"/>
      <c r="BD38" s="20"/>
      <c r="BE38" s="20"/>
      <c r="BF38" s="19" t="s">
        <v>40</v>
      </c>
      <c r="BG38" s="20">
        <f>SQRT(BE35/5)</f>
        <v>0.18620580012448593</v>
      </c>
      <c r="BH38" s="20"/>
    </row>
    <row r="39" spans="10:60">
      <c r="J39" s="46" t="s">
        <v>45</v>
      </c>
      <c r="K39" s="46" t="s">
        <v>46</v>
      </c>
      <c r="L39" s="3" t="s">
        <v>170</v>
      </c>
      <c r="M39" s="46" t="s">
        <v>201</v>
      </c>
      <c r="N39" s="46" t="s">
        <v>205</v>
      </c>
      <c r="O39" s="15">
        <v>11.79</v>
      </c>
      <c r="P39" s="15">
        <v>0.16600000000000001</v>
      </c>
      <c r="Q39" s="15">
        <v>11.832000000000001</v>
      </c>
      <c r="R39" s="15">
        <v>0.16900000000000001</v>
      </c>
      <c r="S39" s="15">
        <f t="shared" si="21"/>
        <v>-4.2000000000001592E-2</v>
      </c>
      <c r="T39" s="15">
        <f t="shared" si="22"/>
        <v>0.23689026995636611</v>
      </c>
      <c r="U39" s="15">
        <f t="shared" si="23"/>
        <v>5.6117000000000014E-2</v>
      </c>
      <c r="V39" s="3">
        <v>0.06</v>
      </c>
      <c r="W39" s="20">
        <f t="shared" si="24"/>
        <v>1.0404000000000324E-2</v>
      </c>
      <c r="AA39" s="1" t="s">
        <v>235</v>
      </c>
      <c r="AB39" s="46" t="s">
        <v>46</v>
      </c>
      <c r="AC39" s="3" t="s">
        <v>162</v>
      </c>
      <c r="AD39" s="3" t="s">
        <v>199</v>
      </c>
      <c r="AE39" s="1" t="s">
        <v>202</v>
      </c>
      <c r="AF39" s="15">
        <v>4.58</v>
      </c>
      <c r="AG39" s="15">
        <v>0.188</v>
      </c>
      <c r="AH39" s="15">
        <v>3.4510000000000001</v>
      </c>
      <c r="AI39" s="15">
        <v>0.22500000000000001</v>
      </c>
      <c r="AJ39" s="15">
        <f>(AF39-AH39)</f>
        <v>1.129</v>
      </c>
      <c r="AK39" s="15">
        <f>SQRT((AG39)^2 + (AI39)^2)</f>
        <v>0.29320470664707959</v>
      </c>
      <c r="AL39" s="15">
        <f>AK39^2</f>
        <v>8.5969000000000004E-2</v>
      </c>
      <c r="AM39" s="3">
        <v>0.56999999999999995</v>
      </c>
      <c r="AN39" s="20">
        <f>(AJ39-AM39)^2</f>
        <v>0.31248100000000006</v>
      </c>
      <c r="AO39" s="1"/>
      <c r="AT39" s="44"/>
      <c r="AU39" s="44"/>
      <c r="AV39" s="45"/>
      <c r="AW39" s="45"/>
      <c r="AX39" s="45"/>
      <c r="AY39" s="15"/>
      <c r="AZ39" s="15"/>
      <c r="BA39" s="15"/>
      <c r="BB39" s="15"/>
      <c r="BC39" s="20"/>
      <c r="BD39" s="20"/>
      <c r="BE39" s="20"/>
      <c r="BF39" s="20"/>
      <c r="BG39" s="20"/>
      <c r="BH39" s="20"/>
    </row>
    <row r="40" spans="10:60" ht="17">
      <c r="J40" s="46" t="s">
        <v>45</v>
      </c>
      <c r="K40" s="46" t="s">
        <v>46</v>
      </c>
      <c r="L40" s="3" t="s">
        <v>171</v>
      </c>
      <c r="M40" s="46" t="s">
        <v>86</v>
      </c>
      <c r="N40" s="46" t="s">
        <v>92</v>
      </c>
      <c r="O40" s="15">
        <v>-8.7149999999999999</v>
      </c>
      <c r="P40" s="15">
        <v>0.32600000000000001</v>
      </c>
      <c r="Q40" s="15">
        <v>-8.0739999999999998</v>
      </c>
      <c r="R40" s="15">
        <v>0.11700000000000001</v>
      </c>
      <c r="S40" s="15">
        <f t="shared" si="21"/>
        <v>-0.64100000000000001</v>
      </c>
      <c r="T40" s="15">
        <f t="shared" si="22"/>
        <v>0.34635963968106909</v>
      </c>
      <c r="U40" s="15">
        <f t="shared" si="23"/>
        <v>0.119965</v>
      </c>
      <c r="V40" s="3">
        <v>0.47</v>
      </c>
      <c r="W40" s="20">
        <f t="shared" si="24"/>
        <v>1.234321</v>
      </c>
      <c r="AA40" s="1" t="s">
        <v>101</v>
      </c>
      <c r="AB40" s="46" t="s">
        <v>46</v>
      </c>
      <c r="AC40" s="6" t="s">
        <v>9</v>
      </c>
      <c r="AD40" s="3" t="s">
        <v>200</v>
      </c>
      <c r="AE40" s="1" t="s">
        <v>203</v>
      </c>
      <c r="AF40" s="1">
        <v>-38.686</v>
      </c>
      <c r="AG40" s="1">
        <v>0.495</v>
      </c>
      <c r="AH40" s="1">
        <v>-40.798999999999999</v>
      </c>
      <c r="AI40" s="1">
        <v>0.32400000000000001</v>
      </c>
      <c r="AJ40" s="15">
        <f t="shared" ref="AJ40:AJ52" si="25">(AF40-AH40)</f>
        <v>2.1129999999999995</v>
      </c>
      <c r="AK40" s="15">
        <f t="shared" ref="AK40:AK52" si="26">SQRT((AG40)^2 + (AI40)^2)</f>
        <v>0.59160882346361265</v>
      </c>
      <c r="AL40" s="15">
        <f t="shared" ref="AL40:AL52" si="27">AK40^2</f>
        <v>0.35000100000000001</v>
      </c>
      <c r="AM40" s="3">
        <v>1.07</v>
      </c>
      <c r="AN40" s="20">
        <f t="shared" ref="AN40:AN52" si="28">(AJ40-AM40)^2</f>
        <v>1.087848999999999</v>
      </c>
      <c r="AO40" s="1"/>
      <c r="AT40" s="10" t="s">
        <v>113</v>
      </c>
      <c r="AU40" s="11"/>
      <c r="AV40" s="11"/>
      <c r="AW40" s="11"/>
      <c r="AX40" s="11"/>
      <c r="AY40" s="11"/>
      <c r="AZ40" s="11"/>
      <c r="BA40" s="11"/>
      <c r="BB40" s="11"/>
      <c r="BC40" s="11"/>
      <c r="BD40" s="11"/>
      <c r="BE40" s="11"/>
      <c r="BF40" s="11"/>
      <c r="BG40" s="11"/>
      <c r="BH40" s="20"/>
    </row>
    <row r="41" spans="10:60">
      <c r="J41" s="46" t="s">
        <v>45</v>
      </c>
      <c r="K41" s="46" t="s">
        <v>46</v>
      </c>
      <c r="L41" s="3" t="s">
        <v>172</v>
      </c>
      <c r="M41" s="46" t="s">
        <v>182</v>
      </c>
      <c r="N41" s="46" t="s">
        <v>93</v>
      </c>
      <c r="O41" s="15">
        <v>10.742000000000001</v>
      </c>
      <c r="P41" s="15">
        <v>0.19700000000000001</v>
      </c>
      <c r="Q41" s="15">
        <v>11.053000000000001</v>
      </c>
      <c r="R41" s="15">
        <v>0.12</v>
      </c>
      <c r="S41" s="15">
        <f t="shared" si="21"/>
        <v>-0.31099999999999994</v>
      </c>
      <c r="T41" s="15">
        <f t="shared" si="22"/>
        <v>0.23067076104266013</v>
      </c>
      <c r="U41" s="15">
        <f t="shared" si="23"/>
        <v>5.3209000000000006E-2</v>
      </c>
      <c r="V41" s="3">
        <v>-0.43</v>
      </c>
      <c r="W41" s="20">
        <f t="shared" si="24"/>
        <v>1.4161000000000012E-2</v>
      </c>
      <c r="AA41" s="1" t="s">
        <v>101</v>
      </c>
      <c r="AB41" s="46" t="s">
        <v>46</v>
      </c>
      <c r="AC41" s="6" t="s">
        <v>11</v>
      </c>
      <c r="AD41" s="3" t="s">
        <v>176</v>
      </c>
      <c r="AE41" s="1" t="s">
        <v>186</v>
      </c>
      <c r="AF41" s="15">
        <v>-41.232999999999997</v>
      </c>
      <c r="AG41" s="15">
        <v>0.193</v>
      </c>
      <c r="AH41" s="15">
        <v>-43.319000000000003</v>
      </c>
      <c r="AI41" s="15">
        <v>8.5000000000000006E-2</v>
      </c>
      <c r="AJ41" s="15">
        <f t="shared" si="25"/>
        <v>2.0860000000000056</v>
      </c>
      <c r="AK41" s="15">
        <f t="shared" si="26"/>
        <v>0.21088859618291361</v>
      </c>
      <c r="AL41" s="15">
        <f t="shared" si="27"/>
        <v>4.4474000000000007E-2</v>
      </c>
      <c r="AM41" s="3">
        <v>1.53</v>
      </c>
      <c r="AN41" s="20">
        <f t="shared" si="28"/>
        <v>0.30913600000000624</v>
      </c>
      <c r="AO41" s="1"/>
      <c r="AT41" s="12" t="s">
        <v>30</v>
      </c>
      <c r="AU41" s="12" t="s">
        <v>31</v>
      </c>
      <c r="AV41" s="13" t="s">
        <v>32</v>
      </c>
      <c r="AW41" s="12" t="s">
        <v>33</v>
      </c>
      <c r="AX41" s="12" t="s">
        <v>34</v>
      </c>
      <c r="AY41" s="12" t="s">
        <v>35</v>
      </c>
      <c r="AZ41" s="12" t="s">
        <v>36</v>
      </c>
      <c r="BA41" s="12" t="s">
        <v>37</v>
      </c>
      <c r="BB41" s="12" t="s">
        <v>38</v>
      </c>
      <c r="BC41" s="12" t="s">
        <v>39</v>
      </c>
      <c r="BD41" s="14" t="s">
        <v>40</v>
      </c>
      <c r="BE41" s="12" t="s">
        <v>41</v>
      </c>
      <c r="BF41" s="12" t="s">
        <v>42</v>
      </c>
      <c r="BG41" s="12" t="s">
        <v>43</v>
      </c>
      <c r="BH41" s="20"/>
    </row>
    <row r="42" spans="10:60">
      <c r="J42" s="46" t="s">
        <v>45</v>
      </c>
      <c r="K42" s="46" t="s">
        <v>46</v>
      </c>
      <c r="L42" s="6" t="s">
        <v>173</v>
      </c>
      <c r="M42" s="46" t="s">
        <v>183</v>
      </c>
      <c r="N42" s="46" t="s">
        <v>94</v>
      </c>
      <c r="O42" s="15">
        <v>13.61</v>
      </c>
      <c r="P42" s="15">
        <v>6.6000000000000003E-2</v>
      </c>
      <c r="Q42" s="15">
        <v>13.471</v>
      </c>
      <c r="R42" s="15">
        <v>0.13</v>
      </c>
      <c r="S42" s="15">
        <f t="shared" si="21"/>
        <v>0.13899999999999935</v>
      </c>
      <c r="T42" s="15">
        <f t="shared" si="22"/>
        <v>0.14579437574886078</v>
      </c>
      <c r="U42" s="15">
        <f t="shared" si="23"/>
        <v>2.1256000000000004E-2</v>
      </c>
      <c r="V42" s="3">
        <v>-0.27</v>
      </c>
      <c r="W42" s="20">
        <f t="shared" si="24"/>
        <v>0.16728099999999949</v>
      </c>
      <c r="AA42" s="1" t="s">
        <v>235</v>
      </c>
      <c r="AB42" s="46" t="s">
        <v>46</v>
      </c>
      <c r="AC42" s="3" t="s">
        <v>166</v>
      </c>
      <c r="AD42" s="3" t="s">
        <v>177</v>
      </c>
      <c r="AE42" s="1" t="s">
        <v>58</v>
      </c>
      <c r="AF42" s="58">
        <v>-4.1100000000000003</v>
      </c>
      <c r="AG42" s="58">
        <v>7.6999999999999999E-2</v>
      </c>
      <c r="AH42" s="58">
        <v>-4.2249999999999996</v>
      </c>
      <c r="AI42" s="58">
        <v>0.08</v>
      </c>
      <c r="AJ42" s="15">
        <f t="shared" si="25"/>
        <v>0.11499999999999932</v>
      </c>
      <c r="AK42" s="15">
        <f t="shared" si="26"/>
        <v>0.11103603018840326</v>
      </c>
      <c r="AL42" s="15">
        <f t="shared" si="27"/>
        <v>1.2329E-2</v>
      </c>
      <c r="AM42" s="3">
        <v>-0.82</v>
      </c>
      <c r="AN42" s="20">
        <f t="shared" si="28"/>
        <v>0.8742249999999987</v>
      </c>
      <c r="AO42" s="1"/>
      <c r="AT42" s="1" t="s">
        <v>101</v>
      </c>
      <c r="AU42" s="46" t="s">
        <v>46</v>
      </c>
      <c r="AV42" s="3" t="s">
        <v>162</v>
      </c>
      <c r="AW42" s="3">
        <v>332</v>
      </c>
      <c r="AX42" s="1" t="s">
        <v>202</v>
      </c>
      <c r="AY42" s="15">
        <v>5.3360000000000003</v>
      </c>
      <c r="AZ42" s="15">
        <v>0.17599999999999999</v>
      </c>
      <c r="BA42" s="15">
        <v>3.3849999999999998</v>
      </c>
      <c r="BB42" s="15">
        <v>0.152</v>
      </c>
      <c r="BC42" s="15">
        <f>(AY42-BA42)</f>
        <v>1.9510000000000005</v>
      </c>
      <c r="BD42" s="15">
        <f>SQRT((AZ42)^2+(BB42)^2)</f>
        <v>0.23255106965997813</v>
      </c>
      <c r="BE42" s="15">
        <f>BD42^2</f>
        <v>5.4079999999999996E-2</v>
      </c>
      <c r="BF42" s="3">
        <v>0.56999999999999995</v>
      </c>
      <c r="BG42" s="20">
        <f>(BC42-BF42)^2</f>
        <v>1.9071610000000019</v>
      </c>
      <c r="BH42" s="20"/>
    </row>
    <row r="43" spans="10:60">
      <c r="J43" s="46" t="s">
        <v>45</v>
      </c>
      <c r="K43" s="46" t="s">
        <v>46</v>
      </c>
      <c r="L43" s="6" t="s">
        <v>174</v>
      </c>
      <c r="M43" s="46" t="s">
        <v>184</v>
      </c>
      <c r="N43" s="46" t="s">
        <v>188</v>
      </c>
      <c r="O43" s="15">
        <v>10.519</v>
      </c>
      <c r="P43" s="15">
        <v>0.121</v>
      </c>
      <c r="Q43" s="15">
        <v>11.122</v>
      </c>
      <c r="R43" s="15">
        <v>1.6E-2</v>
      </c>
      <c r="S43" s="15">
        <f t="shared" si="21"/>
        <v>-0.60299999999999976</v>
      </c>
      <c r="T43" s="15">
        <f t="shared" si="22"/>
        <v>0.12205326705991937</v>
      </c>
      <c r="U43" s="15">
        <f t="shared" si="23"/>
        <v>1.4896999999999999E-2</v>
      </c>
      <c r="V43" s="3">
        <v>-0.63</v>
      </c>
      <c r="W43" s="20">
        <f t="shared" si="24"/>
        <v>7.2900000000001327E-4</v>
      </c>
      <c r="AA43" s="1" t="s">
        <v>235</v>
      </c>
      <c r="AB43" s="46" t="s">
        <v>46</v>
      </c>
      <c r="AC43" s="3" t="s">
        <v>167</v>
      </c>
      <c r="AD43" s="3" t="s">
        <v>178</v>
      </c>
      <c r="AE43" s="1" t="s">
        <v>59</v>
      </c>
      <c r="AF43" s="58">
        <v>13.035</v>
      </c>
      <c r="AG43" s="58">
        <v>0.24</v>
      </c>
      <c r="AH43" s="58">
        <v>13.077</v>
      </c>
      <c r="AI43" s="58">
        <v>1.4999999999999999E-2</v>
      </c>
      <c r="AJ43" s="15">
        <f t="shared" si="25"/>
        <v>-4.1999999999999815E-2</v>
      </c>
      <c r="AK43" s="15">
        <f t="shared" si="26"/>
        <v>0.24046829312822096</v>
      </c>
      <c r="AL43" s="15">
        <f t="shared" si="27"/>
        <v>5.7825000000000001E-2</v>
      </c>
      <c r="AM43" s="3">
        <v>-0.85</v>
      </c>
      <c r="AN43" s="20">
        <f t="shared" si="28"/>
        <v>0.65286400000000022</v>
      </c>
      <c r="AO43" s="1"/>
      <c r="AT43" s="1" t="s">
        <v>101</v>
      </c>
      <c r="AU43" s="46" t="s">
        <v>46</v>
      </c>
      <c r="AV43" s="6" t="s">
        <v>9</v>
      </c>
      <c r="AW43" s="3">
        <v>346</v>
      </c>
      <c r="AX43" s="1" t="s">
        <v>203</v>
      </c>
      <c r="AY43" s="1">
        <v>-38.686</v>
      </c>
      <c r="AZ43" s="1">
        <v>0.495</v>
      </c>
      <c r="BA43" s="1">
        <v>-40.798999999999999</v>
      </c>
      <c r="BB43" s="1">
        <v>0.32400000000000001</v>
      </c>
      <c r="BC43" s="15">
        <f t="shared" ref="BC43:BC55" si="29">(AY43-BA43)</f>
        <v>2.1129999999999995</v>
      </c>
      <c r="BD43" s="15">
        <f t="shared" ref="BD43:BD55" si="30">SQRT((AZ43)^2+(BB43)^2)</f>
        <v>0.59160882346361265</v>
      </c>
      <c r="BE43" s="15">
        <f t="shared" ref="BE43:BE55" si="31">BD43^2</f>
        <v>0.35000100000000001</v>
      </c>
      <c r="BF43" s="3">
        <v>1.07</v>
      </c>
      <c r="BG43" s="20">
        <f t="shared" ref="BG43:BG55" si="32">(BC43-BF43)^2</f>
        <v>1.087848999999999</v>
      </c>
      <c r="BH43" s="20"/>
    </row>
    <row r="44" spans="10:60">
      <c r="J44" s="46" t="s">
        <v>45</v>
      </c>
      <c r="K44" s="46" t="s">
        <v>46</v>
      </c>
      <c r="L44" s="6" t="s">
        <v>175</v>
      </c>
      <c r="M44" s="46" t="s">
        <v>185</v>
      </c>
      <c r="N44" s="46" t="s">
        <v>189</v>
      </c>
      <c r="O44" s="15">
        <v>14.933999999999999</v>
      </c>
      <c r="P44" s="15">
        <v>0.13700000000000001</v>
      </c>
      <c r="Q44" s="15">
        <v>14.872</v>
      </c>
      <c r="R44" s="15">
        <v>0.108</v>
      </c>
      <c r="S44" s="15">
        <f t="shared" si="21"/>
        <v>6.1999999999999389E-2</v>
      </c>
      <c r="T44" s="15">
        <f t="shared" si="22"/>
        <v>0.17445056606385662</v>
      </c>
      <c r="U44" s="15">
        <f t="shared" si="23"/>
        <v>3.0433000000000002E-2</v>
      </c>
      <c r="V44" s="3">
        <v>0.19</v>
      </c>
      <c r="W44" s="20">
        <f t="shared" si="24"/>
        <v>1.6384000000000155E-2</v>
      </c>
      <c r="AA44" s="1" t="s">
        <v>235</v>
      </c>
      <c r="AB44" s="46" t="s">
        <v>46</v>
      </c>
      <c r="AC44" s="3" t="s">
        <v>13</v>
      </c>
      <c r="AD44" s="3" t="s">
        <v>179</v>
      </c>
      <c r="AE44" s="1" t="s">
        <v>187</v>
      </c>
      <c r="AF44" s="58">
        <v>16.288</v>
      </c>
      <c r="AG44" s="58">
        <v>0.23200000000000001</v>
      </c>
      <c r="AH44" s="58">
        <v>14.128</v>
      </c>
      <c r="AI44" s="58">
        <v>0.09</v>
      </c>
      <c r="AJ44" s="15">
        <f t="shared" si="25"/>
        <v>2.16</v>
      </c>
      <c r="AK44" s="15">
        <f t="shared" si="26"/>
        <v>0.2488453334905037</v>
      </c>
      <c r="AL44" s="15">
        <f t="shared" si="27"/>
        <v>6.1924E-2</v>
      </c>
      <c r="AM44" s="3">
        <v>0.46</v>
      </c>
      <c r="AN44" s="20">
        <f t="shared" si="28"/>
        <v>2.8900000000000006</v>
      </c>
      <c r="AO44" s="1"/>
      <c r="AT44" s="1" t="s">
        <v>101</v>
      </c>
      <c r="AU44" s="46" t="s">
        <v>46</v>
      </c>
      <c r="AV44" s="6" t="s">
        <v>11</v>
      </c>
      <c r="AW44" s="3">
        <v>349</v>
      </c>
      <c r="AX44" s="1" t="s">
        <v>186</v>
      </c>
      <c r="AY44" s="15">
        <v>-41.232999999999997</v>
      </c>
      <c r="AZ44" s="15">
        <v>0.193</v>
      </c>
      <c r="BA44" s="15">
        <v>-43.319000000000003</v>
      </c>
      <c r="BB44" s="15">
        <v>8.5000000000000006E-2</v>
      </c>
      <c r="BC44" s="15">
        <f t="shared" si="29"/>
        <v>2.0860000000000056</v>
      </c>
      <c r="BD44" s="15">
        <f t="shared" si="30"/>
        <v>0.21088859618291361</v>
      </c>
      <c r="BE44" s="15">
        <f t="shared" si="31"/>
        <v>4.4474000000000007E-2</v>
      </c>
      <c r="BF44" s="3">
        <v>1.53</v>
      </c>
      <c r="BG44" s="20">
        <f t="shared" si="32"/>
        <v>0.30913600000000624</v>
      </c>
    </row>
    <row r="45" spans="10:60">
      <c r="J45" s="46" t="s">
        <v>45</v>
      </c>
      <c r="K45" s="46" t="s">
        <v>70</v>
      </c>
      <c r="L45" s="3" t="s">
        <v>14</v>
      </c>
      <c r="M45" s="46" t="s">
        <v>190</v>
      </c>
      <c r="N45" s="46" t="s">
        <v>195</v>
      </c>
      <c r="O45" s="15">
        <v>-5.577</v>
      </c>
      <c r="P45" s="15">
        <v>0.1</v>
      </c>
      <c r="Q45" s="15">
        <v>-5.4219999999999997</v>
      </c>
      <c r="R45" s="15">
        <v>4.2000000000000003E-2</v>
      </c>
      <c r="S45" s="15">
        <f>(O45-Q45)</f>
        <v>-0.15500000000000025</v>
      </c>
      <c r="T45" s="15">
        <f>SQRT((P45)^2 + (R45)^2)</f>
        <v>0.10846197490364999</v>
      </c>
      <c r="U45" s="15">
        <f>T45^2</f>
        <v>1.1764E-2</v>
      </c>
      <c r="V45" s="3">
        <v>-0.51</v>
      </c>
      <c r="W45" s="20">
        <f>(S45-V45)^2</f>
        <v>0.12602499999999983</v>
      </c>
      <c r="AA45" s="1" t="s">
        <v>235</v>
      </c>
      <c r="AB45" s="46" t="s">
        <v>46</v>
      </c>
      <c r="AC45" s="3" t="s">
        <v>168</v>
      </c>
      <c r="AD45" s="3" t="s">
        <v>180</v>
      </c>
      <c r="AE45" s="1" t="s">
        <v>61</v>
      </c>
      <c r="AF45" s="58">
        <v>-5.1020000000000003</v>
      </c>
      <c r="AG45" s="58">
        <v>0.14299999999999999</v>
      </c>
      <c r="AH45" s="58">
        <v>-5.0380000000000003</v>
      </c>
      <c r="AI45" s="58">
        <v>1.4E-2</v>
      </c>
      <c r="AJ45" s="15">
        <f t="shared" si="25"/>
        <v>-6.4000000000000057E-2</v>
      </c>
      <c r="AK45" s="15">
        <f t="shared" si="26"/>
        <v>0.14368368035375484</v>
      </c>
      <c r="AL45" s="15">
        <f t="shared" si="27"/>
        <v>2.0644999999999993E-2</v>
      </c>
      <c r="AM45" s="3">
        <v>0.99</v>
      </c>
      <c r="AN45" s="20">
        <f t="shared" si="28"/>
        <v>1.110916</v>
      </c>
      <c r="AO45" s="1"/>
      <c r="AT45" s="1" t="s">
        <v>101</v>
      </c>
      <c r="AU45" s="46" t="s">
        <v>46</v>
      </c>
      <c r="AV45" s="3" t="s">
        <v>166</v>
      </c>
      <c r="AW45" s="3">
        <v>353</v>
      </c>
      <c r="AX45" s="1" t="s">
        <v>58</v>
      </c>
      <c r="AY45" s="15">
        <v>-4.9210000000000003</v>
      </c>
      <c r="AZ45" s="15">
        <v>0.23400000000000001</v>
      </c>
      <c r="BA45" s="15">
        <v>-4.577</v>
      </c>
      <c r="BB45" s="15">
        <v>9.5000000000000001E-2</v>
      </c>
      <c r="BC45" s="15">
        <f t="shared" si="29"/>
        <v>-0.34400000000000031</v>
      </c>
      <c r="BD45" s="15">
        <f t="shared" si="30"/>
        <v>0.25254900514553608</v>
      </c>
      <c r="BE45" s="15">
        <f t="shared" si="31"/>
        <v>6.3781000000000004E-2</v>
      </c>
      <c r="BF45" s="3">
        <v>-0.82</v>
      </c>
      <c r="BG45" s="20">
        <f t="shared" si="32"/>
        <v>0.22657599999999967</v>
      </c>
    </row>
    <row r="46" spans="10:60">
      <c r="J46" s="46" t="s">
        <v>45</v>
      </c>
      <c r="K46" s="46" t="s">
        <v>70</v>
      </c>
      <c r="L46" s="6" t="s">
        <v>163</v>
      </c>
      <c r="M46" s="46" t="s">
        <v>191</v>
      </c>
      <c r="N46" s="46" t="s">
        <v>196</v>
      </c>
      <c r="O46" s="15">
        <v>-8.4209999999999994</v>
      </c>
      <c r="P46" s="15">
        <v>0.18099999999999999</v>
      </c>
      <c r="Q46" s="15">
        <v>-8.3330000000000002</v>
      </c>
      <c r="R46" s="15">
        <v>6.4000000000000001E-2</v>
      </c>
      <c r="S46" s="15">
        <f t="shared" ref="S46:S49" si="33">(O46-Q46)</f>
        <v>-8.799999999999919E-2</v>
      </c>
      <c r="T46" s="15">
        <f t="shared" ref="T46:T49" si="34">SQRT((P46)^2 + (R46)^2)</f>
        <v>0.19198176996788002</v>
      </c>
      <c r="U46" s="15">
        <f t="shared" ref="U46:U49" si="35">T46^2</f>
        <v>3.6857000000000001E-2</v>
      </c>
      <c r="V46" s="3">
        <v>1.1299999999999999</v>
      </c>
      <c r="W46" s="20">
        <f t="shared" ref="W46:W49" si="36">(S46-V46)^2</f>
        <v>1.4835239999999978</v>
      </c>
      <c r="AA46" s="1" t="s">
        <v>235</v>
      </c>
      <c r="AB46" s="46" t="s">
        <v>46</v>
      </c>
      <c r="AC46" s="3" t="s">
        <v>169</v>
      </c>
      <c r="AD46" s="3" t="s">
        <v>181</v>
      </c>
      <c r="AE46" s="1" t="s">
        <v>91</v>
      </c>
      <c r="AF46" s="58">
        <v>70.59</v>
      </c>
      <c r="AG46" s="58">
        <v>0.251</v>
      </c>
      <c r="AH46" s="58">
        <v>69.650000000000006</v>
      </c>
      <c r="AI46" s="58">
        <v>4.8000000000000001E-2</v>
      </c>
      <c r="AJ46" s="15">
        <f t="shared" si="25"/>
        <v>0.93999999999999773</v>
      </c>
      <c r="AK46" s="15">
        <f t="shared" si="26"/>
        <v>0.25554842985234716</v>
      </c>
      <c r="AL46" s="15">
        <f t="shared" si="27"/>
        <v>6.5305000000000002E-2</v>
      </c>
      <c r="AM46" s="3">
        <v>1.53</v>
      </c>
      <c r="AN46" s="20">
        <f t="shared" si="28"/>
        <v>0.34810000000000274</v>
      </c>
      <c r="AO46" s="1"/>
      <c r="AT46" s="1" t="s">
        <v>101</v>
      </c>
      <c r="AU46" s="46" t="s">
        <v>46</v>
      </c>
      <c r="AV46" s="3" t="s">
        <v>167</v>
      </c>
      <c r="AW46" s="3">
        <v>354</v>
      </c>
      <c r="AX46" s="1" t="s">
        <v>59</v>
      </c>
      <c r="AY46" s="15">
        <v>12.007999999999999</v>
      </c>
      <c r="AZ46" s="15">
        <v>0.13800000000000001</v>
      </c>
      <c r="BA46" s="15">
        <v>12.928000000000001</v>
      </c>
      <c r="BB46" s="15">
        <v>1.2E-2</v>
      </c>
      <c r="BC46" s="15">
        <f t="shared" si="29"/>
        <v>-0.92000000000000171</v>
      </c>
      <c r="BD46" s="15">
        <f t="shared" si="30"/>
        <v>0.13852075656738236</v>
      </c>
      <c r="BE46" s="15">
        <f t="shared" si="31"/>
        <v>1.9188000000000004E-2</v>
      </c>
      <c r="BF46" s="3">
        <v>-0.85</v>
      </c>
      <c r="BG46" s="20">
        <f t="shared" si="32"/>
        <v>4.9000000000002418E-3</v>
      </c>
    </row>
    <row r="47" spans="10:60">
      <c r="J47" s="46" t="s">
        <v>45</v>
      </c>
      <c r="K47" s="46" t="s">
        <v>70</v>
      </c>
      <c r="L47" s="6" t="s">
        <v>164</v>
      </c>
      <c r="M47" s="46" t="s">
        <v>192</v>
      </c>
      <c r="N47" s="46" t="s">
        <v>77</v>
      </c>
      <c r="O47" s="15">
        <v>11.971</v>
      </c>
      <c r="P47" s="15">
        <v>0.11</v>
      </c>
      <c r="Q47" s="15">
        <v>11.637</v>
      </c>
      <c r="R47" s="15">
        <v>0.13</v>
      </c>
      <c r="S47" s="15">
        <f t="shared" si="33"/>
        <v>0.33399999999999963</v>
      </c>
      <c r="T47" s="15">
        <f t="shared" si="34"/>
        <v>0.17029386365926402</v>
      </c>
      <c r="U47" s="15">
        <f t="shared" si="35"/>
        <v>2.9000000000000005E-2</v>
      </c>
      <c r="V47" s="3">
        <v>0.47</v>
      </c>
      <c r="W47" s="20">
        <f t="shared" si="36"/>
        <v>1.8496000000000092E-2</v>
      </c>
      <c r="AA47" s="1" t="s">
        <v>235</v>
      </c>
      <c r="AB47" s="46" t="s">
        <v>46</v>
      </c>
      <c r="AC47" s="3" t="s">
        <v>170</v>
      </c>
      <c r="AD47" s="3" t="s">
        <v>201</v>
      </c>
      <c r="AE47" s="1" t="s">
        <v>205</v>
      </c>
      <c r="AF47" s="58">
        <v>11.920999999999999</v>
      </c>
      <c r="AG47" s="58">
        <v>0.108</v>
      </c>
      <c r="AH47" s="58">
        <v>11.971</v>
      </c>
      <c r="AI47" s="58">
        <v>4.2999999999999997E-2</v>
      </c>
      <c r="AJ47" s="15">
        <f t="shared" si="25"/>
        <v>-5.0000000000000711E-2</v>
      </c>
      <c r="AK47" s="15">
        <f t="shared" si="26"/>
        <v>0.11624543001770005</v>
      </c>
      <c r="AL47" s="15">
        <f t="shared" si="27"/>
        <v>1.3512999999999999E-2</v>
      </c>
      <c r="AM47" s="3">
        <v>0.06</v>
      </c>
      <c r="AN47" s="20">
        <f t="shared" si="28"/>
        <v>1.2100000000000156E-2</v>
      </c>
      <c r="AO47" s="1"/>
      <c r="AT47" s="1" t="s">
        <v>101</v>
      </c>
      <c r="AU47" s="46" t="s">
        <v>46</v>
      </c>
      <c r="AV47" s="3" t="s">
        <v>13</v>
      </c>
      <c r="AW47" s="3">
        <v>355</v>
      </c>
      <c r="AX47" s="1" t="s">
        <v>187</v>
      </c>
      <c r="AY47" s="15">
        <v>16.268999999999998</v>
      </c>
      <c r="AZ47" s="15">
        <v>5.8000000000000003E-2</v>
      </c>
      <c r="BA47" s="15">
        <v>13.558</v>
      </c>
      <c r="BB47" s="15">
        <v>0.17100000000000001</v>
      </c>
      <c r="BC47" s="15">
        <f t="shared" si="29"/>
        <v>2.7109999999999985</v>
      </c>
      <c r="BD47" s="15">
        <f t="shared" si="30"/>
        <v>0.18056854654119583</v>
      </c>
      <c r="BE47" s="15">
        <f t="shared" si="31"/>
        <v>3.2605000000000009E-2</v>
      </c>
      <c r="BF47" s="3">
        <v>0.46</v>
      </c>
      <c r="BG47" s="20">
        <f t="shared" si="32"/>
        <v>5.0670009999999932</v>
      </c>
    </row>
    <row r="48" spans="10:60">
      <c r="J48" s="46" t="s">
        <v>45</v>
      </c>
      <c r="K48" s="46" t="s">
        <v>70</v>
      </c>
      <c r="L48" s="6" t="s">
        <v>165</v>
      </c>
      <c r="M48" s="46" t="s">
        <v>193</v>
      </c>
      <c r="N48" s="46" t="s">
        <v>197</v>
      </c>
      <c r="O48" s="15">
        <v>7.8049999999999997</v>
      </c>
      <c r="P48" s="15">
        <v>0.112</v>
      </c>
      <c r="Q48" s="15">
        <v>6.4470000000000001</v>
      </c>
      <c r="R48" s="15">
        <v>0.104</v>
      </c>
      <c r="S48" s="15">
        <f t="shared" si="33"/>
        <v>1.3579999999999997</v>
      </c>
      <c r="T48" s="15">
        <f t="shared" si="34"/>
        <v>0.15283978539634241</v>
      </c>
      <c r="U48" s="15">
        <f t="shared" si="35"/>
        <v>2.3360000000000002E-2</v>
      </c>
      <c r="V48" s="3">
        <v>0.97</v>
      </c>
      <c r="W48" s="20">
        <f t="shared" si="36"/>
        <v>0.15054399999999976</v>
      </c>
      <c r="AA48" s="1" t="s">
        <v>235</v>
      </c>
      <c r="AB48" s="46" t="s">
        <v>46</v>
      </c>
      <c r="AC48" s="3" t="s">
        <v>171</v>
      </c>
      <c r="AD48" s="3" t="s">
        <v>86</v>
      </c>
      <c r="AE48" s="1" t="s">
        <v>92</v>
      </c>
      <c r="AF48" s="58">
        <v>-7.6740000000000004</v>
      </c>
      <c r="AG48" s="58">
        <v>0.126</v>
      </c>
      <c r="AH48" s="58">
        <v>-8.4039999999999999</v>
      </c>
      <c r="AI48" s="58">
        <v>0.154</v>
      </c>
      <c r="AJ48" s="15">
        <f t="shared" si="25"/>
        <v>0.72999999999999954</v>
      </c>
      <c r="AK48" s="15">
        <f t="shared" si="26"/>
        <v>0.19897738564972653</v>
      </c>
      <c r="AL48" s="15">
        <f t="shared" si="27"/>
        <v>3.9591999999999995E-2</v>
      </c>
      <c r="AM48" s="3">
        <v>0.47</v>
      </c>
      <c r="AN48" s="20">
        <f t="shared" si="28"/>
        <v>6.7599999999999771E-2</v>
      </c>
      <c r="AO48" s="1"/>
      <c r="AT48" s="1" t="s">
        <v>101</v>
      </c>
      <c r="AU48" s="46" t="s">
        <v>46</v>
      </c>
      <c r="AV48" s="3" t="s">
        <v>168</v>
      </c>
      <c r="AW48" s="3">
        <v>357</v>
      </c>
      <c r="AX48" s="1" t="s">
        <v>61</v>
      </c>
      <c r="AY48" s="15">
        <v>-5.1020000000000003</v>
      </c>
      <c r="AZ48" s="15">
        <v>0.13400000000000001</v>
      </c>
      <c r="BA48" s="15">
        <v>-5.0519999999999996</v>
      </c>
      <c r="BB48" s="15">
        <v>1.7999999999999999E-2</v>
      </c>
      <c r="BC48" s="15">
        <f t="shared" si="29"/>
        <v>-5.0000000000000711E-2</v>
      </c>
      <c r="BD48" s="15">
        <f t="shared" si="30"/>
        <v>0.13520355024924458</v>
      </c>
      <c r="BE48" s="15">
        <f t="shared" si="31"/>
        <v>1.8280000000000001E-2</v>
      </c>
      <c r="BF48" s="3">
        <v>0.99</v>
      </c>
      <c r="BG48" s="20">
        <f t="shared" si="32"/>
        <v>1.0816000000000014</v>
      </c>
    </row>
    <row r="49" spans="10:59">
      <c r="J49" s="46" t="s">
        <v>45</v>
      </c>
      <c r="K49" s="46" t="s">
        <v>70</v>
      </c>
      <c r="L49" s="6" t="s">
        <v>12</v>
      </c>
      <c r="M49" s="46" t="s">
        <v>194</v>
      </c>
      <c r="N49" s="46" t="s">
        <v>198</v>
      </c>
      <c r="O49" s="15">
        <v>-24.151</v>
      </c>
      <c r="P49" s="15">
        <v>0.215</v>
      </c>
      <c r="Q49" s="15">
        <v>-24.492000000000001</v>
      </c>
      <c r="R49" s="15">
        <v>0.192</v>
      </c>
      <c r="S49" s="15">
        <f t="shared" si="33"/>
        <v>0.34100000000000108</v>
      </c>
      <c r="T49" s="15">
        <f t="shared" si="34"/>
        <v>0.28825162618795402</v>
      </c>
      <c r="U49" s="15">
        <f t="shared" si="35"/>
        <v>8.3088999999999982E-2</v>
      </c>
      <c r="V49" s="3">
        <v>0.02</v>
      </c>
      <c r="W49" s="20">
        <f t="shared" si="36"/>
        <v>0.10304100000000069</v>
      </c>
      <c r="AA49" s="1" t="s">
        <v>235</v>
      </c>
      <c r="AB49" s="46" t="s">
        <v>46</v>
      </c>
      <c r="AC49" s="3" t="s">
        <v>172</v>
      </c>
      <c r="AD49" s="3" t="s">
        <v>182</v>
      </c>
      <c r="AE49" s="1" t="s">
        <v>93</v>
      </c>
      <c r="AF49" s="58">
        <v>10.567</v>
      </c>
      <c r="AG49" s="58">
        <v>0.20100000000000001</v>
      </c>
      <c r="AH49" s="58">
        <v>10.347</v>
      </c>
      <c r="AI49" s="58">
        <v>7.2999999999999995E-2</v>
      </c>
      <c r="AJ49" s="15">
        <f t="shared" si="25"/>
        <v>0.22000000000000064</v>
      </c>
      <c r="AK49" s="15">
        <f t="shared" si="26"/>
        <v>0.21384573879317775</v>
      </c>
      <c r="AL49" s="15">
        <f t="shared" si="27"/>
        <v>4.5730000000000007E-2</v>
      </c>
      <c r="AM49" s="3">
        <v>-0.43</v>
      </c>
      <c r="AN49" s="20">
        <f t="shared" si="28"/>
        <v>0.42250000000000076</v>
      </c>
      <c r="AO49" s="1"/>
      <c r="AT49" s="1" t="s">
        <v>101</v>
      </c>
      <c r="AU49" s="46" t="s">
        <v>46</v>
      </c>
      <c r="AV49" s="3" t="s">
        <v>169</v>
      </c>
      <c r="AW49" s="3">
        <v>358</v>
      </c>
      <c r="AX49" s="1" t="s">
        <v>91</v>
      </c>
      <c r="AY49" s="15">
        <v>69.483999999999995</v>
      </c>
      <c r="AZ49" s="15">
        <v>0.19400000000000001</v>
      </c>
      <c r="BA49" s="15">
        <v>69.614999999999995</v>
      </c>
      <c r="BB49" s="15">
        <v>0.04</v>
      </c>
      <c r="BC49" s="15">
        <f t="shared" si="29"/>
        <v>-0.13100000000000023</v>
      </c>
      <c r="BD49" s="15">
        <f t="shared" si="30"/>
        <v>0.19808079159777203</v>
      </c>
      <c r="BE49" s="15">
        <f t="shared" si="31"/>
        <v>3.9235999999999993E-2</v>
      </c>
      <c r="BF49" s="3">
        <v>1.53</v>
      </c>
      <c r="BG49" s="20">
        <f t="shared" si="32"/>
        <v>2.7589210000000008</v>
      </c>
    </row>
    <row r="50" spans="10:59">
      <c r="U50" s="18" t="s">
        <v>67</v>
      </c>
      <c r="V50" s="18"/>
      <c r="W50" s="18" t="s">
        <v>67</v>
      </c>
      <c r="AA50" s="1" t="s">
        <v>101</v>
      </c>
      <c r="AB50" s="46" t="s">
        <v>46</v>
      </c>
      <c r="AC50" s="6" t="s">
        <v>173</v>
      </c>
      <c r="AD50" s="3" t="s">
        <v>183</v>
      </c>
      <c r="AE50" s="1" t="s">
        <v>94</v>
      </c>
      <c r="AF50" s="15">
        <v>13.606999999999999</v>
      </c>
      <c r="AG50" s="15">
        <v>8.2000000000000003E-2</v>
      </c>
      <c r="AH50" s="15">
        <v>11.808999999999999</v>
      </c>
      <c r="AI50" s="15">
        <v>5.1999999999999998E-2</v>
      </c>
      <c r="AJ50" s="15">
        <f t="shared" si="25"/>
        <v>1.798</v>
      </c>
      <c r="AK50" s="15">
        <f t="shared" si="26"/>
        <v>9.709788875150685E-2</v>
      </c>
      <c r="AL50" s="15">
        <f t="shared" si="27"/>
        <v>9.4280000000000006E-3</v>
      </c>
      <c r="AM50" s="3">
        <v>-0.27</v>
      </c>
      <c r="AN50" s="20">
        <f t="shared" si="28"/>
        <v>4.276624</v>
      </c>
      <c r="AO50" s="1"/>
      <c r="AT50" s="1" t="s">
        <v>101</v>
      </c>
      <c r="AU50" s="46" t="s">
        <v>46</v>
      </c>
      <c r="AV50" s="3" t="s">
        <v>170</v>
      </c>
      <c r="AW50" s="3">
        <v>360</v>
      </c>
      <c r="AX50" s="1" t="s">
        <v>205</v>
      </c>
      <c r="AY50" s="15">
        <v>11.637</v>
      </c>
      <c r="AZ50" s="15">
        <v>5.2999999999999999E-2</v>
      </c>
      <c r="BA50" s="15">
        <v>12.193</v>
      </c>
      <c r="BB50" s="15">
        <v>7.2999999999999995E-2</v>
      </c>
      <c r="BC50" s="15">
        <f t="shared" si="29"/>
        <v>-0.55599999999999916</v>
      </c>
      <c r="BD50" s="15">
        <f t="shared" si="30"/>
        <v>9.0210864090751283E-2</v>
      </c>
      <c r="BE50" s="15">
        <f t="shared" si="31"/>
        <v>8.1379999999999994E-3</v>
      </c>
      <c r="BF50" s="3">
        <v>0.06</v>
      </c>
      <c r="BG50" s="20">
        <f t="shared" si="32"/>
        <v>0.37945599999999902</v>
      </c>
    </row>
    <row r="51" spans="10:59">
      <c r="U51" s="20">
        <f>SUM(U36:U49)</f>
        <v>0.66210600000000008</v>
      </c>
      <c r="V51" s="20"/>
      <c r="W51" s="20">
        <f>SUM(W36:W49)</f>
        <v>9.5036520000000078</v>
      </c>
      <c r="AA51" s="1" t="s">
        <v>101</v>
      </c>
      <c r="AB51" s="46" t="s">
        <v>46</v>
      </c>
      <c r="AC51" s="6" t="s">
        <v>174</v>
      </c>
      <c r="AD51" s="3" t="s">
        <v>184</v>
      </c>
      <c r="AE51" s="1" t="s">
        <v>188</v>
      </c>
      <c r="AF51" s="15">
        <v>10.619</v>
      </c>
      <c r="AG51" s="15">
        <v>8.4000000000000005E-2</v>
      </c>
      <c r="AH51" s="15">
        <v>11.567</v>
      </c>
      <c r="AI51" s="15">
        <v>0.21099999999999999</v>
      </c>
      <c r="AJ51" s="15">
        <f t="shared" si="25"/>
        <v>-0.9480000000000004</v>
      </c>
      <c r="AK51" s="15">
        <f t="shared" si="26"/>
        <v>0.22710570226218452</v>
      </c>
      <c r="AL51" s="15">
        <f t="shared" si="27"/>
        <v>5.1577000000000005E-2</v>
      </c>
      <c r="AM51" s="3">
        <v>-0.63</v>
      </c>
      <c r="AN51" s="20">
        <f t="shared" si="28"/>
        <v>0.10112400000000026</v>
      </c>
      <c r="AT51" s="1" t="s">
        <v>101</v>
      </c>
      <c r="AU51" s="46" t="s">
        <v>46</v>
      </c>
      <c r="AV51" s="3" t="s">
        <v>171</v>
      </c>
      <c r="AW51" s="3">
        <v>402</v>
      </c>
      <c r="AX51" s="1" t="s">
        <v>92</v>
      </c>
      <c r="AY51" s="15">
        <v>-7.8780000000000001</v>
      </c>
      <c r="AZ51" s="15">
        <v>0.187</v>
      </c>
      <c r="BA51" s="15">
        <v>-8.3219999999999992</v>
      </c>
      <c r="BB51" s="15">
        <v>7.3999999999999996E-2</v>
      </c>
      <c r="BC51" s="15">
        <f t="shared" si="29"/>
        <v>0.44399999999999906</v>
      </c>
      <c r="BD51" s="15">
        <f t="shared" si="30"/>
        <v>0.20110942295178513</v>
      </c>
      <c r="BE51" s="15">
        <f t="shared" si="31"/>
        <v>4.0445000000000002E-2</v>
      </c>
      <c r="BF51" s="3">
        <v>0.47</v>
      </c>
      <c r="BG51" s="20">
        <f t="shared" si="32"/>
        <v>6.7600000000004744E-4</v>
      </c>
    </row>
    <row r="52" spans="10:59">
      <c r="U52" s="20"/>
      <c r="V52" s="20"/>
      <c r="W52" s="20"/>
      <c r="AA52" s="1" t="s">
        <v>101</v>
      </c>
      <c r="AB52" s="46" t="s">
        <v>46</v>
      </c>
      <c r="AC52" s="6" t="s">
        <v>175</v>
      </c>
      <c r="AD52" s="3" t="s">
        <v>185</v>
      </c>
      <c r="AE52" s="1" t="s">
        <v>189</v>
      </c>
      <c r="AF52" s="15">
        <v>14.644</v>
      </c>
      <c r="AG52" s="15">
        <v>5.1999999999999998E-2</v>
      </c>
      <c r="AH52" s="15">
        <v>15.069000000000001</v>
      </c>
      <c r="AI52" s="15">
        <v>0.24299999999999999</v>
      </c>
      <c r="AJ52" s="15">
        <f t="shared" si="25"/>
        <v>-0.42500000000000071</v>
      </c>
      <c r="AK52" s="15">
        <f t="shared" si="26"/>
        <v>0.248501509049744</v>
      </c>
      <c r="AL52" s="15">
        <f t="shared" si="27"/>
        <v>6.1752999999999995E-2</v>
      </c>
      <c r="AM52" s="3">
        <v>0.19</v>
      </c>
      <c r="AN52" s="20">
        <f t="shared" si="28"/>
        <v>0.37822500000000081</v>
      </c>
      <c r="AT52" s="1" t="s">
        <v>101</v>
      </c>
      <c r="AU52" s="46" t="s">
        <v>46</v>
      </c>
      <c r="AV52" s="3" t="s">
        <v>172</v>
      </c>
      <c r="AW52" s="3">
        <v>403</v>
      </c>
      <c r="AX52" s="1" t="s">
        <v>93</v>
      </c>
      <c r="AY52" s="15">
        <v>11.324999999999999</v>
      </c>
      <c r="AZ52" s="15">
        <v>9.5000000000000001E-2</v>
      </c>
      <c r="BA52" s="15">
        <v>10.597</v>
      </c>
      <c r="BB52" s="15">
        <v>6.3E-2</v>
      </c>
      <c r="BC52" s="15">
        <f t="shared" si="29"/>
        <v>0.72799999999999976</v>
      </c>
      <c r="BD52" s="15">
        <f t="shared" si="30"/>
        <v>0.11399122773266371</v>
      </c>
      <c r="BE52" s="15">
        <f t="shared" si="31"/>
        <v>1.2994E-2</v>
      </c>
      <c r="BF52" s="3">
        <v>-0.43</v>
      </c>
      <c r="BG52" s="20">
        <f t="shared" si="32"/>
        <v>1.3409639999999994</v>
      </c>
    </row>
    <row r="53" spans="10:59">
      <c r="U53" s="20"/>
      <c r="V53" s="19" t="s">
        <v>68</v>
      </c>
      <c r="W53" s="20">
        <f>SQRT(W51/14)</f>
        <v>0.82391279011451579</v>
      </c>
      <c r="AA53" s="1" t="s">
        <v>82</v>
      </c>
      <c r="AB53" s="46" t="s">
        <v>70</v>
      </c>
      <c r="AC53" s="3" t="s">
        <v>14</v>
      </c>
      <c r="AD53" s="3" t="s">
        <v>190</v>
      </c>
      <c r="AE53" s="59" t="s">
        <v>195</v>
      </c>
      <c r="AF53" s="15">
        <v>-5.5309999999999997</v>
      </c>
      <c r="AG53" s="15">
        <v>0.28499999999999998</v>
      </c>
      <c r="AH53" s="15">
        <v>-5.2270000000000003</v>
      </c>
      <c r="AI53" s="15">
        <v>8.2000000000000003E-2</v>
      </c>
      <c r="AJ53" s="15">
        <f>AF53-AH53</f>
        <v>-0.30399999999999938</v>
      </c>
      <c r="AK53" s="15">
        <f>SQRT((AG53)^2 + (AI53)^2)</f>
        <v>0.29656196654325045</v>
      </c>
      <c r="AL53" s="15">
        <f>AK53^2</f>
        <v>8.7948999999999999E-2</v>
      </c>
      <c r="AM53" s="3">
        <v>-0.51</v>
      </c>
      <c r="AN53" s="20">
        <f>(AJ53-AM53)^2</f>
        <v>4.2436000000000258E-2</v>
      </c>
      <c r="AT53" s="1" t="s">
        <v>101</v>
      </c>
      <c r="AU53" s="46" t="s">
        <v>46</v>
      </c>
      <c r="AV53" s="6" t="s">
        <v>173</v>
      </c>
      <c r="AW53" s="3">
        <v>404</v>
      </c>
      <c r="AX53" s="1" t="s">
        <v>94</v>
      </c>
      <c r="AY53" s="15">
        <v>13.606999999999999</v>
      </c>
      <c r="AZ53" s="15">
        <v>8.2000000000000003E-2</v>
      </c>
      <c r="BA53" s="15">
        <v>11.808999999999999</v>
      </c>
      <c r="BB53" s="15">
        <v>5.1999999999999998E-2</v>
      </c>
      <c r="BC53" s="15">
        <f t="shared" si="29"/>
        <v>1.798</v>
      </c>
      <c r="BD53" s="15">
        <f t="shared" si="30"/>
        <v>9.709788875150685E-2</v>
      </c>
      <c r="BE53" s="15">
        <f t="shared" si="31"/>
        <v>9.4280000000000006E-3</v>
      </c>
      <c r="BF53" s="3">
        <v>-0.27</v>
      </c>
      <c r="BG53" s="20">
        <f t="shared" si="32"/>
        <v>4.276624</v>
      </c>
    </row>
    <row r="54" spans="10:59">
      <c r="U54" s="20"/>
      <c r="V54" s="19" t="s">
        <v>40</v>
      </c>
      <c r="W54" s="20">
        <f>SQRT(U51/14)</f>
        <v>0.2174701950021789</v>
      </c>
      <c r="AA54" s="1" t="s">
        <v>101</v>
      </c>
      <c r="AB54" s="46" t="s">
        <v>70</v>
      </c>
      <c r="AC54" s="6" t="s">
        <v>163</v>
      </c>
      <c r="AD54" s="3" t="s">
        <v>191</v>
      </c>
      <c r="AE54" s="59" t="s">
        <v>196</v>
      </c>
      <c r="AF54" s="15">
        <v>-8.8770000000000007</v>
      </c>
      <c r="AG54" s="15">
        <v>9.1999999999999998E-2</v>
      </c>
      <c r="AH54" s="15">
        <v>-8.9920000000000009</v>
      </c>
      <c r="AI54" s="15">
        <v>6.6000000000000003E-2</v>
      </c>
      <c r="AJ54" s="15">
        <f t="shared" ref="AJ54:AJ57" si="37">AF54-AH54</f>
        <v>0.11500000000000021</v>
      </c>
      <c r="AK54" s="15">
        <f t="shared" ref="AK54:AK57" si="38">SQRT((AG54)^2 + (AI54)^2)</f>
        <v>0.11322543883774529</v>
      </c>
      <c r="AL54" s="15">
        <f t="shared" ref="AL54:AL57" si="39">AK54^2</f>
        <v>1.2819999999999998E-2</v>
      </c>
      <c r="AM54" s="3">
        <v>1.1299999999999999</v>
      </c>
      <c r="AN54" s="20">
        <f t="shared" ref="AN54:AN57" si="40">(AJ54-AM54)^2</f>
        <v>1.0302249999999993</v>
      </c>
      <c r="AT54" s="1" t="s">
        <v>101</v>
      </c>
      <c r="AU54" s="46" t="s">
        <v>46</v>
      </c>
      <c r="AV54" s="6" t="s">
        <v>174</v>
      </c>
      <c r="AW54" s="3">
        <v>405</v>
      </c>
      <c r="AX54" s="1" t="s">
        <v>188</v>
      </c>
      <c r="AY54" s="15">
        <v>10.619</v>
      </c>
      <c r="AZ54" s="15">
        <v>8.4000000000000005E-2</v>
      </c>
      <c r="BA54" s="15">
        <v>11.567</v>
      </c>
      <c r="BB54" s="15">
        <v>0.21099999999999999</v>
      </c>
      <c r="BC54" s="15">
        <f t="shared" si="29"/>
        <v>-0.9480000000000004</v>
      </c>
      <c r="BD54" s="15">
        <f t="shared" si="30"/>
        <v>0.22710570226218452</v>
      </c>
      <c r="BE54" s="15">
        <f t="shared" si="31"/>
        <v>5.1577000000000005E-2</v>
      </c>
      <c r="BF54" s="3">
        <v>-0.63</v>
      </c>
      <c r="BG54" s="20">
        <f t="shared" si="32"/>
        <v>0.10112400000000026</v>
      </c>
    </row>
    <row r="55" spans="10:59">
      <c r="AA55" s="1" t="s">
        <v>101</v>
      </c>
      <c r="AB55" s="46" t="s">
        <v>70</v>
      </c>
      <c r="AC55" s="6" t="s">
        <v>164</v>
      </c>
      <c r="AD55" s="3" t="s">
        <v>192</v>
      </c>
      <c r="AE55" s="59" t="s">
        <v>77</v>
      </c>
      <c r="AF55" s="15">
        <v>11.291</v>
      </c>
      <c r="AG55" s="15">
        <v>7.6999999999999999E-2</v>
      </c>
      <c r="AH55" s="15">
        <v>11.45</v>
      </c>
      <c r="AI55" s="15">
        <v>4.8000000000000001E-2</v>
      </c>
      <c r="AJ55" s="15">
        <f t="shared" si="37"/>
        <v>-0.15899999999999892</v>
      </c>
      <c r="AK55" s="15">
        <f t="shared" si="38"/>
        <v>9.0735880444287306E-2</v>
      </c>
      <c r="AL55" s="15">
        <f t="shared" si="39"/>
        <v>8.232999999999999E-3</v>
      </c>
      <c r="AM55" s="3">
        <v>0.47</v>
      </c>
      <c r="AN55" s="20">
        <f t="shared" si="40"/>
        <v>0.39564099999999863</v>
      </c>
      <c r="AT55" s="1" t="s">
        <v>101</v>
      </c>
      <c r="AU55" s="46" t="s">
        <v>46</v>
      </c>
      <c r="AV55" s="6" t="s">
        <v>175</v>
      </c>
      <c r="AW55" s="3">
        <v>407</v>
      </c>
      <c r="AX55" s="1" t="s">
        <v>189</v>
      </c>
      <c r="AY55" s="15">
        <v>14.644</v>
      </c>
      <c r="AZ55" s="15">
        <v>5.1999999999999998E-2</v>
      </c>
      <c r="BA55" s="15">
        <v>15.069000000000001</v>
      </c>
      <c r="BB55" s="15">
        <v>0.24299999999999999</v>
      </c>
      <c r="BC55" s="15">
        <f t="shared" si="29"/>
        <v>-0.42500000000000071</v>
      </c>
      <c r="BD55" s="15">
        <f t="shared" si="30"/>
        <v>0.248501509049744</v>
      </c>
      <c r="BE55" s="15">
        <f t="shared" si="31"/>
        <v>6.1752999999999995E-2</v>
      </c>
      <c r="BF55" s="3">
        <v>0.19</v>
      </c>
      <c r="BG55" s="20">
        <f t="shared" si="32"/>
        <v>0.37822500000000081</v>
      </c>
    </row>
    <row r="56" spans="10:59">
      <c r="AA56" s="1" t="s">
        <v>101</v>
      </c>
      <c r="AB56" s="46" t="s">
        <v>70</v>
      </c>
      <c r="AC56" s="6" t="s">
        <v>165</v>
      </c>
      <c r="AD56" s="3" t="s">
        <v>193</v>
      </c>
      <c r="AE56" s="59" t="s">
        <v>197</v>
      </c>
      <c r="AF56" s="15">
        <v>7.1749999999999998</v>
      </c>
      <c r="AG56" s="15">
        <v>0.30199999999999999</v>
      </c>
      <c r="AH56" s="15">
        <v>6.5270000000000001</v>
      </c>
      <c r="AI56" s="15">
        <v>0.14699999999999999</v>
      </c>
      <c r="AJ56" s="15">
        <f t="shared" si="37"/>
        <v>0.64799999999999969</v>
      </c>
      <c r="AK56" s="15">
        <f t="shared" si="38"/>
        <v>0.33587646538571292</v>
      </c>
      <c r="AL56" s="15">
        <f t="shared" si="39"/>
        <v>0.11281300000000001</v>
      </c>
      <c r="AM56" s="3">
        <v>0.97</v>
      </c>
      <c r="AN56" s="20">
        <f t="shared" si="40"/>
        <v>0.10368400000000018</v>
      </c>
      <c r="AT56" s="1" t="s">
        <v>101</v>
      </c>
      <c r="AU56" s="46" t="s">
        <v>70</v>
      </c>
      <c r="AV56" s="3" t="s">
        <v>14</v>
      </c>
      <c r="AW56" s="3">
        <v>526</v>
      </c>
      <c r="AX56" s="59" t="s">
        <v>195</v>
      </c>
      <c r="AY56" s="15">
        <v>-5.2809999999999997</v>
      </c>
      <c r="AZ56" s="15">
        <v>7.6999999999999999E-2</v>
      </c>
      <c r="BA56" s="15">
        <v>-5.2610000000000001</v>
      </c>
      <c r="BB56" s="15">
        <v>7.1999999999999995E-2</v>
      </c>
      <c r="BC56" s="15">
        <v>-0.02</v>
      </c>
      <c r="BD56" s="15">
        <v>0.105370774</v>
      </c>
      <c r="BE56" s="15">
        <v>1.1103E-2</v>
      </c>
      <c r="BF56" s="8">
        <v>-0.51</v>
      </c>
      <c r="BG56" s="20">
        <f>(BC56-BF56)^2</f>
        <v>0.24009999999999998</v>
      </c>
    </row>
    <row r="57" spans="10:59">
      <c r="AA57" s="1" t="s">
        <v>101</v>
      </c>
      <c r="AB57" s="46" t="s">
        <v>70</v>
      </c>
      <c r="AC57" s="6" t="s">
        <v>12</v>
      </c>
      <c r="AD57" s="3" t="s">
        <v>194</v>
      </c>
      <c r="AE57" s="1" t="s">
        <v>198</v>
      </c>
      <c r="AF57" s="15">
        <v>-24.902000000000001</v>
      </c>
      <c r="AG57" s="15">
        <v>0.10299999999999999</v>
      </c>
      <c r="AH57" s="15">
        <v>-23.87</v>
      </c>
      <c r="AI57" s="15">
        <v>0.13300000000000001</v>
      </c>
      <c r="AJ57" s="15">
        <f t="shared" si="37"/>
        <v>-1.032</v>
      </c>
      <c r="AK57" s="15">
        <f t="shared" si="38"/>
        <v>0.1682200939245963</v>
      </c>
      <c r="AL57" s="15">
        <f t="shared" si="39"/>
        <v>2.8298000000000004E-2</v>
      </c>
      <c r="AM57" s="3">
        <v>0.02</v>
      </c>
      <c r="AN57" s="20">
        <f t="shared" si="40"/>
        <v>1.1067040000000001</v>
      </c>
      <c r="AT57" s="1" t="s">
        <v>101</v>
      </c>
      <c r="AU57" s="46" t="s">
        <v>70</v>
      </c>
      <c r="AV57" s="6" t="s">
        <v>163</v>
      </c>
      <c r="AW57" s="3">
        <v>551</v>
      </c>
      <c r="AX57" s="59" t="s">
        <v>196</v>
      </c>
      <c r="AY57" s="15">
        <v>-8.8770000000000007</v>
      </c>
      <c r="AZ57" s="15">
        <v>9.1999999999999998E-2</v>
      </c>
      <c r="BA57" s="15">
        <v>-8.9920000000000009</v>
      </c>
      <c r="BB57" s="15">
        <v>6.6000000000000003E-2</v>
      </c>
      <c r="BC57" s="15">
        <v>0.115</v>
      </c>
      <c r="BD57" s="15">
        <v>0.112769677</v>
      </c>
      <c r="BE57" s="15">
        <v>1.2716999999999999E-2</v>
      </c>
      <c r="BF57" s="8">
        <v>1.1299999999999999</v>
      </c>
      <c r="BG57" s="20">
        <f t="shared" ref="BG57:BG60" si="41">(BC57-BF57)^2</f>
        <v>1.0302249999999997</v>
      </c>
    </row>
    <row r="58" spans="10:59" ht="17">
      <c r="J58" s="10" t="s">
        <v>80</v>
      </c>
      <c r="K58" s="11"/>
      <c r="L58" s="11"/>
      <c r="M58" s="11"/>
      <c r="N58" s="11"/>
      <c r="O58" s="11"/>
      <c r="P58" s="11"/>
      <c r="Q58" s="11"/>
      <c r="R58" s="11"/>
      <c r="S58" s="11"/>
      <c r="T58" s="11"/>
      <c r="U58" s="11"/>
      <c r="V58" s="11"/>
      <c r="W58" s="11"/>
      <c r="AL58" s="18" t="s">
        <v>67</v>
      </c>
      <c r="AM58" s="18"/>
      <c r="AN58" s="18" t="s">
        <v>67</v>
      </c>
      <c r="AT58" s="1" t="s">
        <v>101</v>
      </c>
      <c r="AU58" s="46" t="s">
        <v>70</v>
      </c>
      <c r="AV58" s="6" t="s">
        <v>164</v>
      </c>
      <c r="AW58" s="3">
        <v>552</v>
      </c>
      <c r="AX58" s="59" t="s">
        <v>77</v>
      </c>
      <c r="AY58" s="15">
        <v>11.291</v>
      </c>
      <c r="AZ58" s="15">
        <v>7.6999999999999999E-2</v>
      </c>
      <c r="BA58" s="15">
        <v>11.45</v>
      </c>
      <c r="BB58" s="15">
        <v>4.8000000000000001E-2</v>
      </c>
      <c r="BC58" s="15">
        <v>-0.159</v>
      </c>
      <c r="BD58" s="15">
        <v>9.0664216000000006E-2</v>
      </c>
      <c r="BE58" s="15">
        <v>8.2199999999999999E-3</v>
      </c>
      <c r="BF58" s="8">
        <v>0.47</v>
      </c>
      <c r="BG58" s="20">
        <f t="shared" si="41"/>
        <v>0.39564100000000002</v>
      </c>
    </row>
    <row r="59" spans="10:59">
      <c r="J59" s="12" t="s">
        <v>30</v>
      </c>
      <c r="K59" s="12" t="s">
        <v>31</v>
      </c>
      <c r="L59" s="13" t="s">
        <v>32</v>
      </c>
      <c r="M59" s="12" t="s">
        <v>33</v>
      </c>
      <c r="N59" s="12" t="s">
        <v>34</v>
      </c>
      <c r="O59" s="12" t="s">
        <v>35</v>
      </c>
      <c r="P59" s="12" t="s">
        <v>36</v>
      </c>
      <c r="Q59" s="12" t="s">
        <v>37</v>
      </c>
      <c r="R59" s="12" t="s">
        <v>38</v>
      </c>
      <c r="S59" s="12" t="s">
        <v>39</v>
      </c>
      <c r="T59" s="14" t="s">
        <v>40</v>
      </c>
      <c r="U59" s="12" t="s">
        <v>41</v>
      </c>
      <c r="V59" s="12" t="s">
        <v>42</v>
      </c>
      <c r="W59" s="12" t="s">
        <v>43</v>
      </c>
      <c r="AL59" s="20">
        <f>SUM(AL39:AL57)</f>
        <v>1.1701779999999999</v>
      </c>
      <c r="AM59" s="20"/>
      <c r="AN59" s="20">
        <f>SUM(AN39:AN57)</f>
        <v>15.522434000000008</v>
      </c>
      <c r="AT59" s="1" t="s">
        <v>101</v>
      </c>
      <c r="AU59" s="46" t="s">
        <v>70</v>
      </c>
      <c r="AV59" s="6" t="s">
        <v>165</v>
      </c>
      <c r="AW59" s="3">
        <v>612</v>
      </c>
      <c r="AX59" s="59" t="s">
        <v>197</v>
      </c>
      <c r="AY59" s="15">
        <v>7.1749999999999998</v>
      </c>
      <c r="AZ59" s="15">
        <v>0.30199999999999999</v>
      </c>
      <c r="BA59" s="15">
        <v>6.5270000000000001</v>
      </c>
      <c r="BB59" s="15">
        <v>0.14699999999999999</v>
      </c>
      <c r="BC59" s="15">
        <v>0.64800000000000002</v>
      </c>
      <c r="BD59" s="15">
        <v>0.33617554900000002</v>
      </c>
      <c r="BE59" s="15">
        <v>0.113014</v>
      </c>
      <c r="BF59" s="8">
        <v>0.97</v>
      </c>
      <c r="BG59" s="20">
        <f t="shared" si="41"/>
        <v>0.10368399999999997</v>
      </c>
    </row>
    <row r="60" spans="10:59">
      <c r="J60" s="46" t="s">
        <v>45</v>
      </c>
      <c r="K60" s="46" t="s">
        <v>46</v>
      </c>
      <c r="L60" s="3" t="s">
        <v>166</v>
      </c>
      <c r="M60" s="46" t="s">
        <v>177</v>
      </c>
      <c r="N60" s="46" t="s">
        <v>58</v>
      </c>
      <c r="O60" s="15">
        <v>-3.9929999999999999</v>
      </c>
      <c r="P60" s="15">
        <v>0.182</v>
      </c>
      <c r="Q60" s="15">
        <v>-4.2080000000000002</v>
      </c>
      <c r="R60" s="15">
        <v>0.17499999999999999</v>
      </c>
      <c r="S60" s="15">
        <f>(O60-Q60)</f>
        <v>0.2150000000000003</v>
      </c>
      <c r="T60" s="15">
        <f>SQRT((P60)^2 + (R60)^2)</f>
        <v>0.25248564315620009</v>
      </c>
      <c r="U60" s="15">
        <f>T60^2</f>
        <v>6.3749000000000014E-2</v>
      </c>
      <c r="V60" s="3">
        <v>-0.82</v>
      </c>
      <c r="W60" s="20">
        <f>(S60-V60)^2</f>
        <v>1.0712250000000003</v>
      </c>
      <c r="AL60" s="20"/>
      <c r="AM60" s="20"/>
      <c r="AN60" s="20"/>
      <c r="AT60" s="1" t="s">
        <v>101</v>
      </c>
      <c r="AU60" s="46" t="s">
        <v>70</v>
      </c>
      <c r="AV60" s="6" t="s">
        <v>12</v>
      </c>
      <c r="AW60" s="3">
        <v>614</v>
      </c>
      <c r="AX60" s="1" t="s">
        <v>198</v>
      </c>
      <c r="AY60" s="15">
        <v>-24.902000000000001</v>
      </c>
      <c r="AZ60" s="15">
        <v>0.10299999999999999</v>
      </c>
      <c r="BA60" s="15">
        <v>-23.87</v>
      </c>
      <c r="BB60" s="15">
        <v>0.13300000000000001</v>
      </c>
      <c r="BC60" s="15">
        <v>-1.032</v>
      </c>
      <c r="BD60" s="15">
        <v>0.16825278599999999</v>
      </c>
      <c r="BE60" s="15">
        <v>2.8309000000000001E-2</v>
      </c>
      <c r="BF60" s="8">
        <v>0.02</v>
      </c>
      <c r="BG60" s="20">
        <f t="shared" si="41"/>
        <v>1.1067040000000001</v>
      </c>
    </row>
    <row r="61" spans="10:59">
      <c r="J61" s="46" t="s">
        <v>45</v>
      </c>
      <c r="K61" s="46" t="s">
        <v>46</v>
      </c>
      <c r="L61" s="3" t="s">
        <v>13</v>
      </c>
      <c r="M61" s="46" t="s">
        <v>179</v>
      </c>
      <c r="N61" s="46" t="s">
        <v>187</v>
      </c>
      <c r="O61" s="15">
        <v>16.452000000000002</v>
      </c>
      <c r="P61" s="15">
        <v>0.247</v>
      </c>
      <c r="Q61" s="15">
        <v>13.786</v>
      </c>
      <c r="R61" s="15">
        <v>7.6999999999999999E-2</v>
      </c>
      <c r="S61" s="15">
        <f t="shared" ref="S61:S65" si="42">(O61-Q61)</f>
        <v>2.6660000000000021</v>
      </c>
      <c r="T61" s="15">
        <f t="shared" ref="T61:T65" si="43">SQRT((P61)^2 + (R61)^2)</f>
        <v>0.25872379094316006</v>
      </c>
      <c r="U61" s="15">
        <f t="shared" ref="U61:U65" si="44">T61^2</f>
        <v>6.6937999999999998E-2</v>
      </c>
      <c r="V61" s="3">
        <v>0.46</v>
      </c>
      <c r="W61" s="20">
        <f t="shared" ref="W61:W65" si="45">(S61-V61)^2</f>
        <v>4.86643600000001</v>
      </c>
      <c r="AL61" s="20"/>
      <c r="AM61" s="19" t="s">
        <v>68</v>
      </c>
      <c r="AN61" s="20">
        <f>SQRT(AN59/19)</f>
        <v>0.90386404427121458</v>
      </c>
      <c r="BE61" s="18" t="s">
        <v>67</v>
      </c>
      <c r="BF61" s="18"/>
      <c r="BG61" s="18" t="s">
        <v>67</v>
      </c>
    </row>
    <row r="62" spans="10:59">
      <c r="J62" s="46" t="s">
        <v>45</v>
      </c>
      <c r="K62" s="46" t="s">
        <v>46</v>
      </c>
      <c r="L62" s="3" t="s">
        <v>168</v>
      </c>
      <c r="M62" s="46" t="s">
        <v>180</v>
      </c>
      <c r="N62" s="46" t="s">
        <v>61</v>
      </c>
      <c r="O62" s="15">
        <v>-4.5519999999999996</v>
      </c>
      <c r="P62" s="15">
        <v>0.224</v>
      </c>
      <c r="Q62" s="15">
        <v>-5.0510000000000002</v>
      </c>
      <c r="R62" s="15">
        <v>3.5999999999999997E-2</v>
      </c>
      <c r="S62" s="15">
        <f t="shared" si="42"/>
        <v>0.49900000000000055</v>
      </c>
      <c r="T62" s="15">
        <f t="shared" si="43"/>
        <v>0.22687441459979574</v>
      </c>
      <c r="U62" s="15">
        <f t="shared" si="44"/>
        <v>5.1472000000000011E-2</v>
      </c>
      <c r="V62" s="3">
        <v>0.99</v>
      </c>
      <c r="W62" s="20">
        <f t="shared" si="45"/>
        <v>0.24108099999999943</v>
      </c>
      <c r="AL62" s="20"/>
      <c r="AM62" s="19" t="s">
        <v>40</v>
      </c>
      <c r="AN62" s="20">
        <f>SQRT(AL59/19)</f>
        <v>0.24816993329062584</v>
      </c>
      <c r="BE62" s="20">
        <f>SUM(BE42:BE60)</f>
        <v>0.97934299999999974</v>
      </c>
      <c r="BF62" s="20"/>
      <c r="BG62" s="20">
        <f>SUM(BG42:BG60)</f>
        <v>21.796567000000007</v>
      </c>
    </row>
    <row r="63" spans="10:59">
      <c r="J63" s="46" t="s">
        <v>45</v>
      </c>
      <c r="K63" s="46" t="s">
        <v>46</v>
      </c>
      <c r="L63" s="3" t="s">
        <v>170</v>
      </c>
      <c r="M63" s="46" t="s">
        <v>201</v>
      </c>
      <c r="N63" s="46" t="s">
        <v>205</v>
      </c>
      <c r="O63" s="15">
        <v>11.79</v>
      </c>
      <c r="P63" s="15">
        <v>0.16600000000000001</v>
      </c>
      <c r="Q63" s="15">
        <v>11.832000000000001</v>
      </c>
      <c r="R63" s="15">
        <v>0.16900000000000001</v>
      </c>
      <c r="S63" s="15">
        <f t="shared" si="42"/>
        <v>-4.2000000000001592E-2</v>
      </c>
      <c r="T63" s="15">
        <f t="shared" si="43"/>
        <v>0.23689026995636611</v>
      </c>
      <c r="U63" s="15">
        <f t="shared" si="44"/>
        <v>5.6117000000000014E-2</v>
      </c>
      <c r="V63" s="3">
        <v>0.06</v>
      </c>
      <c r="W63" s="20">
        <f t="shared" si="45"/>
        <v>1.0404000000000324E-2</v>
      </c>
      <c r="BE63" s="20"/>
      <c r="BF63" s="20"/>
      <c r="BG63" s="20"/>
    </row>
    <row r="64" spans="10:59">
      <c r="J64" s="46" t="s">
        <v>45</v>
      </c>
      <c r="K64" s="46" t="s">
        <v>46</v>
      </c>
      <c r="L64" s="3" t="s">
        <v>171</v>
      </c>
      <c r="M64" s="46" t="s">
        <v>86</v>
      </c>
      <c r="N64" s="46" t="s">
        <v>92</v>
      </c>
      <c r="O64" s="15">
        <v>-8.7149999999999999</v>
      </c>
      <c r="P64" s="15">
        <v>0.32600000000000001</v>
      </c>
      <c r="Q64" s="15">
        <v>-8.0739999999999998</v>
      </c>
      <c r="R64" s="15">
        <v>0.11700000000000001</v>
      </c>
      <c r="S64" s="15">
        <f t="shared" si="42"/>
        <v>-0.64100000000000001</v>
      </c>
      <c r="T64" s="15">
        <f t="shared" si="43"/>
        <v>0.34635963968106909</v>
      </c>
      <c r="U64" s="15">
        <f t="shared" si="44"/>
        <v>0.119965</v>
      </c>
      <c r="V64" s="3">
        <v>0.47</v>
      </c>
      <c r="W64" s="20">
        <f t="shared" si="45"/>
        <v>1.234321</v>
      </c>
      <c r="BE64" s="20"/>
      <c r="BF64" s="19" t="s">
        <v>68</v>
      </c>
      <c r="BG64" s="20">
        <f>SQRT(BG62/19)</f>
        <v>1.0710685024040738</v>
      </c>
    </row>
    <row r="65" spans="10:59">
      <c r="J65" s="46" t="s">
        <v>45</v>
      </c>
      <c r="K65" s="46" t="s">
        <v>46</v>
      </c>
      <c r="L65" s="3" t="s">
        <v>172</v>
      </c>
      <c r="M65" s="46" t="s">
        <v>182</v>
      </c>
      <c r="N65" s="46" t="s">
        <v>93</v>
      </c>
      <c r="O65" s="15">
        <v>10.742000000000001</v>
      </c>
      <c r="P65" s="15">
        <v>0.19700000000000001</v>
      </c>
      <c r="Q65" s="15">
        <v>11.053000000000001</v>
      </c>
      <c r="R65" s="15">
        <v>0.12</v>
      </c>
      <c r="S65" s="15">
        <f t="shared" si="42"/>
        <v>-0.31099999999999994</v>
      </c>
      <c r="T65" s="15">
        <f t="shared" si="43"/>
        <v>0.23067076104266013</v>
      </c>
      <c r="U65" s="15">
        <f t="shared" si="44"/>
        <v>5.3209000000000006E-2</v>
      </c>
      <c r="V65" s="3">
        <v>-0.43</v>
      </c>
      <c r="W65" s="20">
        <f t="shared" si="45"/>
        <v>1.4161000000000012E-2</v>
      </c>
      <c r="BE65" s="20"/>
      <c r="BF65" s="19" t="s">
        <v>40</v>
      </c>
      <c r="BG65" s="20">
        <f>SQRT(BE62/19)</f>
        <v>0.22703384862406006</v>
      </c>
    </row>
    <row r="66" spans="10:59">
      <c r="J66" s="46" t="s">
        <v>45</v>
      </c>
      <c r="K66" s="46" t="s">
        <v>70</v>
      </c>
      <c r="L66" s="3" t="s">
        <v>14</v>
      </c>
      <c r="M66" s="46" t="s">
        <v>190</v>
      </c>
      <c r="N66" s="46" t="s">
        <v>195</v>
      </c>
      <c r="O66" s="15">
        <v>-5.577</v>
      </c>
      <c r="P66" s="15">
        <v>0.1</v>
      </c>
      <c r="Q66" s="15">
        <v>-5.4219999999999997</v>
      </c>
      <c r="R66" s="15">
        <v>4.2000000000000003E-2</v>
      </c>
      <c r="S66" s="15">
        <f>(O66-Q66)</f>
        <v>-0.15500000000000025</v>
      </c>
      <c r="T66" s="15">
        <f>SQRT((P66)^2 + (R66)^2)</f>
        <v>0.10846197490364999</v>
      </c>
      <c r="U66" s="15">
        <f>T66^2</f>
        <v>1.1764E-2</v>
      </c>
      <c r="V66" s="3">
        <v>-0.51</v>
      </c>
      <c r="W66" s="20">
        <f>(S66-V66)^2</f>
        <v>0.12602499999999983</v>
      </c>
      <c r="BE66" s="20"/>
      <c r="BF66" s="20"/>
      <c r="BG66" s="20"/>
    </row>
    <row r="67" spans="10:59" ht="17">
      <c r="U67" s="18" t="s">
        <v>67</v>
      </c>
      <c r="V67" s="18"/>
      <c r="W67" s="18" t="s">
        <v>67</v>
      </c>
      <c r="AA67" s="10" t="s">
        <v>157</v>
      </c>
      <c r="AB67" s="11"/>
      <c r="AC67" s="11"/>
      <c r="AD67" s="11"/>
      <c r="AE67" s="11"/>
      <c r="AF67" s="11"/>
      <c r="AG67" s="11"/>
      <c r="AH67" s="11"/>
      <c r="AI67" s="11"/>
      <c r="AJ67" s="11"/>
      <c r="AK67" s="11"/>
      <c r="AL67" s="11"/>
      <c r="AM67" s="11"/>
      <c r="AN67" s="11"/>
    </row>
    <row r="68" spans="10:59">
      <c r="U68" s="20">
        <f>SUM(U60:U66)</f>
        <v>0.42321400000000003</v>
      </c>
      <c r="V68" s="20"/>
      <c r="W68" s="20">
        <f>SUM(W60:W66)</f>
        <v>7.5636530000000093</v>
      </c>
      <c r="AA68" s="12" t="s">
        <v>30</v>
      </c>
      <c r="AB68" s="12" t="s">
        <v>31</v>
      </c>
      <c r="AC68" s="13" t="s">
        <v>32</v>
      </c>
      <c r="AD68" s="12" t="s">
        <v>33</v>
      </c>
      <c r="AE68" s="12" t="s">
        <v>34</v>
      </c>
      <c r="AF68" s="12" t="s">
        <v>35</v>
      </c>
      <c r="AG68" s="12" t="s">
        <v>36</v>
      </c>
      <c r="AH68" s="12" t="s">
        <v>37</v>
      </c>
      <c r="AI68" s="12" t="s">
        <v>38</v>
      </c>
      <c r="AJ68" s="12" t="s">
        <v>39</v>
      </c>
      <c r="AK68" s="14" t="s">
        <v>40</v>
      </c>
      <c r="AL68" s="12" t="s">
        <v>41</v>
      </c>
      <c r="AM68" s="12" t="s">
        <v>42</v>
      </c>
      <c r="AN68" s="12" t="s">
        <v>43</v>
      </c>
    </row>
    <row r="69" spans="10:59">
      <c r="U69" s="20"/>
      <c r="V69" s="20"/>
      <c r="W69" s="20"/>
      <c r="AA69" s="1" t="s">
        <v>235</v>
      </c>
      <c r="AB69" s="46" t="s">
        <v>46</v>
      </c>
      <c r="AC69" s="3" t="s">
        <v>162</v>
      </c>
      <c r="AD69" s="3" t="s">
        <v>199</v>
      </c>
      <c r="AE69" s="1" t="s">
        <v>202</v>
      </c>
      <c r="AF69" s="15">
        <v>4.58</v>
      </c>
      <c r="AG69" s="15">
        <v>0.188</v>
      </c>
      <c r="AH69" s="15">
        <v>3.4510000000000001</v>
      </c>
      <c r="AI69" s="15">
        <v>0.22500000000000001</v>
      </c>
      <c r="AJ69" s="15">
        <f>(AF69-AH69)</f>
        <v>1.129</v>
      </c>
      <c r="AK69" s="15">
        <f>SQRT((AG69)^2 + (AI69)^2)</f>
        <v>0.29320470664707959</v>
      </c>
      <c r="AL69" s="15">
        <f>AK69^2</f>
        <v>8.5969000000000004E-2</v>
      </c>
      <c r="AM69" s="3">
        <v>0.56999999999999995</v>
      </c>
      <c r="AN69" s="20">
        <f>(AJ69-AM69)^2</f>
        <v>0.31248100000000006</v>
      </c>
    </row>
    <row r="70" spans="10:59" ht="17">
      <c r="U70" s="20"/>
      <c r="V70" s="19" t="s">
        <v>68</v>
      </c>
      <c r="W70" s="20">
        <f>SQRT(W68/7)</f>
        <v>1.0394815328532097</v>
      </c>
      <c r="AA70" s="1" t="s">
        <v>235</v>
      </c>
      <c r="AB70" s="46" t="s">
        <v>46</v>
      </c>
      <c r="AC70" s="3" t="s">
        <v>166</v>
      </c>
      <c r="AD70" s="3" t="s">
        <v>177</v>
      </c>
      <c r="AE70" s="1" t="s">
        <v>58</v>
      </c>
      <c r="AF70" s="58">
        <v>-4.1100000000000003</v>
      </c>
      <c r="AG70" s="58">
        <v>7.6999999999999999E-2</v>
      </c>
      <c r="AH70" s="58">
        <v>-4.2249999999999996</v>
      </c>
      <c r="AI70" s="58">
        <v>0.08</v>
      </c>
      <c r="AJ70" s="15">
        <f t="shared" ref="AJ70:AJ77" si="46">(AF70-AH70)</f>
        <v>0.11499999999999932</v>
      </c>
      <c r="AK70" s="15">
        <f t="shared" ref="AK70:AK77" si="47">SQRT((AG70)^2 + (AI70)^2)</f>
        <v>0.11103603018840326</v>
      </c>
      <c r="AL70" s="15">
        <f t="shared" ref="AL70:AL77" si="48">AK70^2</f>
        <v>1.2329E-2</v>
      </c>
      <c r="AM70" s="3">
        <v>-0.82</v>
      </c>
      <c r="AN70" s="20">
        <f t="shared" ref="AN70:AN77" si="49">(AJ70-AM70)^2</f>
        <v>0.8742249999999987</v>
      </c>
      <c r="AT70" s="10" t="s">
        <v>114</v>
      </c>
      <c r="AU70" s="11"/>
      <c r="AV70" s="11"/>
      <c r="AW70" s="11"/>
      <c r="AX70" s="11"/>
      <c r="AY70" s="11"/>
      <c r="AZ70" s="11"/>
      <c r="BA70" s="11"/>
      <c r="BB70" s="11"/>
      <c r="BC70" s="11"/>
      <c r="BD70" s="11"/>
      <c r="BE70" s="11"/>
      <c r="BF70" s="11"/>
      <c r="BG70" s="11"/>
    </row>
    <row r="71" spans="10:59">
      <c r="U71" s="20"/>
      <c r="V71" s="19" t="s">
        <v>40</v>
      </c>
      <c r="W71" s="20">
        <f>SQRT(U68/7)</f>
        <v>0.24588440954469412</v>
      </c>
      <c r="AA71" s="1" t="s">
        <v>235</v>
      </c>
      <c r="AB71" s="46" t="s">
        <v>46</v>
      </c>
      <c r="AC71" s="3" t="s">
        <v>167</v>
      </c>
      <c r="AD71" s="3" t="s">
        <v>178</v>
      </c>
      <c r="AE71" s="1" t="s">
        <v>59</v>
      </c>
      <c r="AF71" s="58">
        <v>13.035</v>
      </c>
      <c r="AG71" s="58">
        <v>0.24</v>
      </c>
      <c r="AH71" s="58">
        <v>13.077</v>
      </c>
      <c r="AI71" s="58">
        <v>1.4999999999999999E-2</v>
      </c>
      <c r="AJ71" s="15">
        <f t="shared" si="46"/>
        <v>-4.1999999999999815E-2</v>
      </c>
      <c r="AK71" s="15">
        <f t="shared" si="47"/>
        <v>0.24046829312822096</v>
      </c>
      <c r="AL71" s="15">
        <f t="shared" si="48"/>
        <v>5.7825000000000001E-2</v>
      </c>
      <c r="AM71" s="3">
        <v>-0.85</v>
      </c>
      <c r="AN71" s="20">
        <f t="shared" si="49"/>
        <v>0.65286400000000022</v>
      </c>
      <c r="AT71" s="12" t="s">
        <v>30</v>
      </c>
      <c r="AU71" s="12" t="s">
        <v>31</v>
      </c>
      <c r="AV71" s="13" t="s">
        <v>32</v>
      </c>
      <c r="AW71" s="12" t="s">
        <v>33</v>
      </c>
      <c r="AX71" s="12" t="s">
        <v>34</v>
      </c>
      <c r="AY71" s="12" t="s">
        <v>35</v>
      </c>
      <c r="AZ71" s="12" t="s">
        <v>36</v>
      </c>
      <c r="BA71" s="12" t="s">
        <v>37</v>
      </c>
      <c r="BB71" s="12" t="s">
        <v>38</v>
      </c>
      <c r="BC71" s="12" t="s">
        <v>39</v>
      </c>
      <c r="BD71" s="14" t="s">
        <v>40</v>
      </c>
      <c r="BE71" s="12" t="s">
        <v>41</v>
      </c>
      <c r="BF71" s="12" t="s">
        <v>42</v>
      </c>
      <c r="BG71" s="12" t="s">
        <v>43</v>
      </c>
    </row>
    <row r="72" spans="10:59">
      <c r="AA72" s="1" t="s">
        <v>235</v>
      </c>
      <c r="AB72" s="46" t="s">
        <v>46</v>
      </c>
      <c r="AC72" s="3" t="s">
        <v>13</v>
      </c>
      <c r="AD72" s="3" t="s">
        <v>179</v>
      </c>
      <c r="AE72" s="1" t="s">
        <v>187</v>
      </c>
      <c r="AF72" s="58">
        <v>16.288</v>
      </c>
      <c r="AG72" s="58">
        <v>0.23200000000000001</v>
      </c>
      <c r="AH72" s="58">
        <v>14.128</v>
      </c>
      <c r="AI72" s="58">
        <v>0.09</v>
      </c>
      <c r="AJ72" s="15">
        <f t="shared" si="46"/>
        <v>2.16</v>
      </c>
      <c r="AK72" s="15">
        <f t="shared" si="47"/>
        <v>0.2488453334905037</v>
      </c>
      <c r="AL72" s="15">
        <f t="shared" si="48"/>
        <v>6.1924E-2</v>
      </c>
      <c r="AM72" s="3">
        <v>0.46</v>
      </c>
      <c r="AN72" s="20">
        <f t="shared" si="49"/>
        <v>2.8900000000000006</v>
      </c>
      <c r="AT72" s="1" t="s">
        <v>101</v>
      </c>
      <c r="AU72" s="46" t="s">
        <v>46</v>
      </c>
      <c r="AV72" s="3" t="s">
        <v>162</v>
      </c>
      <c r="AW72" s="3">
        <v>332</v>
      </c>
      <c r="AX72" s="1" t="s">
        <v>202</v>
      </c>
      <c r="AY72" s="15">
        <v>5.3360000000000003</v>
      </c>
      <c r="AZ72" s="15">
        <v>0.17599999999999999</v>
      </c>
      <c r="BA72" s="15">
        <v>3.3849999999999998</v>
      </c>
      <c r="BB72" s="15">
        <v>0.152</v>
      </c>
      <c r="BC72" s="15">
        <f>(AY72-BA72)</f>
        <v>1.9510000000000005</v>
      </c>
      <c r="BD72" s="15">
        <f>SQRT((AZ72)^2+(BB72)^2)</f>
        <v>0.23255106965997813</v>
      </c>
      <c r="BE72" s="15">
        <f>BD72^2</f>
        <v>5.4079999999999996E-2</v>
      </c>
      <c r="BF72" s="3">
        <v>0.56999999999999995</v>
      </c>
      <c r="BG72" s="20">
        <f>(BC72-BF72)^2</f>
        <v>1.9071610000000019</v>
      </c>
    </row>
    <row r="73" spans="10:59">
      <c r="AA73" s="1" t="s">
        <v>235</v>
      </c>
      <c r="AB73" s="46" t="s">
        <v>46</v>
      </c>
      <c r="AC73" s="3" t="s">
        <v>168</v>
      </c>
      <c r="AD73" s="3" t="s">
        <v>180</v>
      </c>
      <c r="AE73" s="1" t="s">
        <v>61</v>
      </c>
      <c r="AF73" s="58">
        <v>-5.1020000000000003</v>
      </c>
      <c r="AG73" s="58">
        <v>0.14299999999999999</v>
      </c>
      <c r="AH73" s="58">
        <v>-5.0380000000000003</v>
      </c>
      <c r="AI73" s="58">
        <v>1.4E-2</v>
      </c>
      <c r="AJ73" s="15">
        <f t="shared" si="46"/>
        <v>-6.4000000000000057E-2</v>
      </c>
      <c r="AK73" s="15">
        <f t="shared" si="47"/>
        <v>0.14368368035375484</v>
      </c>
      <c r="AL73" s="15">
        <f t="shared" si="48"/>
        <v>2.0644999999999993E-2</v>
      </c>
      <c r="AM73" s="3">
        <v>0.99</v>
      </c>
      <c r="AN73" s="20">
        <f t="shared" si="49"/>
        <v>1.110916</v>
      </c>
      <c r="AT73" s="1" t="s">
        <v>101</v>
      </c>
      <c r="AU73" s="46" t="s">
        <v>46</v>
      </c>
      <c r="AV73" s="3" t="s">
        <v>166</v>
      </c>
      <c r="AW73" s="3">
        <v>353</v>
      </c>
      <c r="AX73" s="1" t="s">
        <v>58</v>
      </c>
      <c r="AY73" s="15">
        <v>-4.9210000000000003</v>
      </c>
      <c r="AZ73" s="15">
        <v>0.23400000000000001</v>
      </c>
      <c r="BA73" s="15">
        <v>-4.577</v>
      </c>
      <c r="BB73" s="15">
        <v>9.5000000000000001E-2</v>
      </c>
      <c r="BC73" s="15">
        <f t="shared" ref="BC73:BC80" si="50">(AY73-BA73)</f>
        <v>-0.34400000000000031</v>
      </c>
      <c r="BD73" s="15">
        <f t="shared" ref="BD73:BD80" si="51">SQRT((AZ73)^2+(BB73)^2)</f>
        <v>0.25254900514553608</v>
      </c>
      <c r="BE73" s="15">
        <f t="shared" ref="BE73:BE80" si="52">BD73^2</f>
        <v>6.3781000000000004E-2</v>
      </c>
      <c r="BF73" s="3">
        <v>-0.82</v>
      </c>
      <c r="BG73" s="20">
        <f t="shared" ref="BG73:BG80" si="53">(BC73-BF73)^2</f>
        <v>0.22657599999999967</v>
      </c>
    </row>
    <row r="74" spans="10:59">
      <c r="AA74" s="1" t="s">
        <v>235</v>
      </c>
      <c r="AB74" s="46" t="s">
        <v>46</v>
      </c>
      <c r="AC74" s="3" t="s">
        <v>169</v>
      </c>
      <c r="AD74" s="3" t="s">
        <v>181</v>
      </c>
      <c r="AE74" s="1" t="s">
        <v>91</v>
      </c>
      <c r="AF74" s="58">
        <v>70.59</v>
      </c>
      <c r="AG74" s="58">
        <v>0.251</v>
      </c>
      <c r="AH74" s="58">
        <v>69.650000000000006</v>
      </c>
      <c r="AI74" s="58">
        <v>4.8000000000000001E-2</v>
      </c>
      <c r="AJ74" s="15">
        <f t="shared" si="46"/>
        <v>0.93999999999999773</v>
      </c>
      <c r="AK74" s="15">
        <f t="shared" si="47"/>
        <v>0.25554842985234716</v>
      </c>
      <c r="AL74" s="15">
        <f t="shared" si="48"/>
        <v>6.5305000000000002E-2</v>
      </c>
      <c r="AM74" s="3">
        <v>1.53</v>
      </c>
      <c r="AN74" s="20">
        <f t="shared" si="49"/>
        <v>0.34810000000000274</v>
      </c>
      <c r="AT74" s="1" t="s">
        <v>101</v>
      </c>
      <c r="AU74" s="46" t="s">
        <v>46</v>
      </c>
      <c r="AV74" s="3" t="s">
        <v>167</v>
      </c>
      <c r="AW74" s="3">
        <v>354</v>
      </c>
      <c r="AX74" s="1" t="s">
        <v>59</v>
      </c>
      <c r="AY74" s="15">
        <v>12.007999999999999</v>
      </c>
      <c r="AZ74" s="15">
        <v>0.13800000000000001</v>
      </c>
      <c r="BA74" s="15">
        <v>12.928000000000001</v>
      </c>
      <c r="BB74" s="15">
        <v>1.2E-2</v>
      </c>
      <c r="BC74" s="15">
        <f t="shared" si="50"/>
        <v>-0.92000000000000171</v>
      </c>
      <c r="BD74" s="15">
        <f t="shared" si="51"/>
        <v>0.13852075656738236</v>
      </c>
      <c r="BE74" s="15">
        <f t="shared" si="52"/>
        <v>1.9188000000000004E-2</v>
      </c>
      <c r="BF74" s="3">
        <v>-0.85</v>
      </c>
      <c r="BG74" s="20">
        <f t="shared" si="53"/>
        <v>4.9000000000002418E-3</v>
      </c>
    </row>
    <row r="75" spans="10:59">
      <c r="AA75" s="1" t="s">
        <v>235</v>
      </c>
      <c r="AB75" s="46" t="s">
        <v>46</v>
      </c>
      <c r="AC75" s="3" t="s">
        <v>170</v>
      </c>
      <c r="AD75" s="3" t="s">
        <v>201</v>
      </c>
      <c r="AE75" s="1" t="s">
        <v>205</v>
      </c>
      <c r="AF75" s="58">
        <v>11.920999999999999</v>
      </c>
      <c r="AG75" s="58">
        <v>0.108</v>
      </c>
      <c r="AH75" s="58">
        <v>11.971</v>
      </c>
      <c r="AI75" s="58">
        <v>4.2999999999999997E-2</v>
      </c>
      <c r="AJ75" s="15">
        <f t="shared" si="46"/>
        <v>-5.0000000000000711E-2</v>
      </c>
      <c r="AK75" s="15">
        <f t="shared" si="47"/>
        <v>0.11624543001770005</v>
      </c>
      <c r="AL75" s="15">
        <f t="shared" si="48"/>
        <v>1.3512999999999999E-2</v>
      </c>
      <c r="AM75" s="3">
        <v>0.06</v>
      </c>
      <c r="AN75" s="20">
        <f t="shared" si="49"/>
        <v>1.2100000000000156E-2</v>
      </c>
      <c r="AT75" s="1" t="s">
        <v>101</v>
      </c>
      <c r="AU75" s="46" t="s">
        <v>46</v>
      </c>
      <c r="AV75" s="3" t="s">
        <v>13</v>
      </c>
      <c r="AW75" s="3">
        <v>355</v>
      </c>
      <c r="AX75" s="1" t="s">
        <v>187</v>
      </c>
      <c r="AY75" s="15">
        <v>16.268999999999998</v>
      </c>
      <c r="AZ75" s="15">
        <v>5.8000000000000003E-2</v>
      </c>
      <c r="BA75" s="15">
        <v>13.558</v>
      </c>
      <c r="BB75" s="15">
        <v>0.17100000000000001</v>
      </c>
      <c r="BC75" s="15">
        <f t="shared" si="50"/>
        <v>2.7109999999999985</v>
      </c>
      <c r="BD75" s="15">
        <f t="shared" si="51"/>
        <v>0.18056854654119583</v>
      </c>
      <c r="BE75" s="15">
        <f t="shared" si="52"/>
        <v>3.2605000000000009E-2</v>
      </c>
      <c r="BF75" s="3">
        <v>0.46</v>
      </c>
      <c r="BG75" s="20">
        <f t="shared" si="53"/>
        <v>5.0670009999999932</v>
      </c>
    </row>
    <row r="76" spans="10:59">
      <c r="AA76" s="1" t="s">
        <v>235</v>
      </c>
      <c r="AB76" s="46" t="s">
        <v>46</v>
      </c>
      <c r="AC76" s="3" t="s">
        <v>171</v>
      </c>
      <c r="AD76" s="3" t="s">
        <v>86</v>
      </c>
      <c r="AE76" s="1" t="s">
        <v>92</v>
      </c>
      <c r="AF76" s="58">
        <v>-7.6740000000000004</v>
      </c>
      <c r="AG76" s="58">
        <v>0.126</v>
      </c>
      <c r="AH76" s="58">
        <v>-8.4039999999999999</v>
      </c>
      <c r="AI76" s="58">
        <v>0.154</v>
      </c>
      <c r="AJ76" s="15">
        <f t="shared" si="46"/>
        <v>0.72999999999999954</v>
      </c>
      <c r="AK76" s="15">
        <f t="shared" si="47"/>
        <v>0.19897738564972653</v>
      </c>
      <c r="AL76" s="15">
        <f t="shared" si="48"/>
        <v>3.9591999999999995E-2</v>
      </c>
      <c r="AM76" s="3">
        <v>0.47</v>
      </c>
      <c r="AN76" s="20">
        <f t="shared" si="49"/>
        <v>6.7599999999999771E-2</v>
      </c>
      <c r="AT76" s="1" t="s">
        <v>101</v>
      </c>
      <c r="AU76" s="46" t="s">
        <v>46</v>
      </c>
      <c r="AV76" s="3" t="s">
        <v>168</v>
      </c>
      <c r="AW76" s="3">
        <v>357</v>
      </c>
      <c r="AX76" s="1" t="s">
        <v>61</v>
      </c>
      <c r="AY76" s="15">
        <v>-5.1020000000000003</v>
      </c>
      <c r="AZ76" s="15">
        <v>0.13400000000000001</v>
      </c>
      <c r="BA76" s="15">
        <v>-5.0519999999999996</v>
      </c>
      <c r="BB76" s="15">
        <v>1.7999999999999999E-2</v>
      </c>
      <c r="BC76" s="15">
        <f t="shared" si="50"/>
        <v>-5.0000000000000711E-2</v>
      </c>
      <c r="BD76" s="15">
        <f t="shared" si="51"/>
        <v>0.13520355024924458</v>
      </c>
      <c r="BE76" s="15">
        <f t="shared" si="52"/>
        <v>1.8280000000000001E-2</v>
      </c>
      <c r="BF76" s="3">
        <v>0.99</v>
      </c>
      <c r="BG76" s="20">
        <f t="shared" si="53"/>
        <v>1.0816000000000014</v>
      </c>
    </row>
    <row r="77" spans="10:59">
      <c r="AA77" s="1" t="s">
        <v>235</v>
      </c>
      <c r="AB77" s="46" t="s">
        <v>46</v>
      </c>
      <c r="AC77" s="3" t="s">
        <v>172</v>
      </c>
      <c r="AD77" s="3" t="s">
        <v>182</v>
      </c>
      <c r="AE77" s="1" t="s">
        <v>93</v>
      </c>
      <c r="AF77" s="58">
        <v>10.567</v>
      </c>
      <c r="AG77" s="58">
        <v>0.20100000000000001</v>
      </c>
      <c r="AH77" s="58">
        <v>10.347</v>
      </c>
      <c r="AI77" s="58">
        <v>7.2999999999999995E-2</v>
      </c>
      <c r="AJ77" s="15">
        <f t="shared" si="46"/>
        <v>0.22000000000000064</v>
      </c>
      <c r="AK77" s="15">
        <f t="shared" si="47"/>
        <v>0.21384573879317775</v>
      </c>
      <c r="AL77" s="15">
        <f t="shared" si="48"/>
        <v>4.5730000000000007E-2</v>
      </c>
      <c r="AM77" s="3">
        <v>-0.43</v>
      </c>
      <c r="AN77" s="20">
        <f t="shared" si="49"/>
        <v>0.42250000000000076</v>
      </c>
      <c r="AT77" s="1" t="s">
        <v>101</v>
      </c>
      <c r="AU77" s="46" t="s">
        <v>46</v>
      </c>
      <c r="AV77" s="3" t="s">
        <v>169</v>
      </c>
      <c r="AW77" s="3">
        <v>358</v>
      </c>
      <c r="AX77" s="1" t="s">
        <v>91</v>
      </c>
      <c r="AY77" s="15">
        <v>69.483999999999995</v>
      </c>
      <c r="AZ77" s="15">
        <v>0.19400000000000001</v>
      </c>
      <c r="BA77" s="15">
        <v>69.614999999999995</v>
      </c>
      <c r="BB77" s="15">
        <v>0.04</v>
      </c>
      <c r="BC77" s="15">
        <f t="shared" si="50"/>
        <v>-0.13100000000000023</v>
      </c>
      <c r="BD77" s="15">
        <f t="shared" si="51"/>
        <v>0.19808079159777203</v>
      </c>
      <c r="BE77" s="15">
        <f t="shared" si="52"/>
        <v>3.9235999999999993E-2</v>
      </c>
      <c r="BF77" s="3">
        <v>1.53</v>
      </c>
      <c r="BG77" s="20">
        <f t="shared" si="53"/>
        <v>2.7589210000000008</v>
      </c>
    </row>
    <row r="78" spans="10:59">
      <c r="AA78" s="1" t="s">
        <v>82</v>
      </c>
      <c r="AB78" s="46" t="s">
        <v>70</v>
      </c>
      <c r="AC78" s="3" t="s">
        <v>14</v>
      </c>
      <c r="AD78" s="3" t="s">
        <v>190</v>
      </c>
      <c r="AE78" s="59" t="s">
        <v>195</v>
      </c>
      <c r="AF78" s="15">
        <v>-5.5309999999999997</v>
      </c>
      <c r="AG78" s="15">
        <v>0.28499999999999998</v>
      </c>
      <c r="AH78" s="15">
        <v>-5.2270000000000003</v>
      </c>
      <c r="AI78" s="15">
        <v>8.2000000000000003E-2</v>
      </c>
      <c r="AJ78" s="15">
        <f>AF78-AH78</f>
        <v>-0.30399999999999938</v>
      </c>
      <c r="AK78" s="15">
        <f>SQRT((AG78)^2 + (AI78)^2)</f>
        <v>0.29656196654325045</v>
      </c>
      <c r="AL78" s="15">
        <f>AK78^2</f>
        <v>8.7948999999999999E-2</v>
      </c>
      <c r="AM78" s="3">
        <v>-0.51</v>
      </c>
      <c r="AN78" s="20">
        <f>(AJ78-AM78)^2</f>
        <v>4.2436000000000258E-2</v>
      </c>
      <c r="AT78" s="1" t="s">
        <v>101</v>
      </c>
      <c r="AU78" s="46" t="s">
        <v>46</v>
      </c>
      <c r="AV78" s="3" t="s">
        <v>170</v>
      </c>
      <c r="AW78" s="3">
        <v>360</v>
      </c>
      <c r="AX78" s="1" t="s">
        <v>205</v>
      </c>
      <c r="AY78" s="15">
        <v>11.637</v>
      </c>
      <c r="AZ78" s="15">
        <v>5.2999999999999999E-2</v>
      </c>
      <c r="BA78" s="15">
        <v>12.193</v>
      </c>
      <c r="BB78" s="15">
        <v>7.2999999999999995E-2</v>
      </c>
      <c r="BC78" s="15">
        <f t="shared" si="50"/>
        <v>-0.55599999999999916</v>
      </c>
      <c r="BD78" s="15">
        <f t="shared" si="51"/>
        <v>9.0210864090751283E-2</v>
      </c>
      <c r="BE78" s="15">
        <f t="shared" si="52"/>
        <v>8.1379999999999994E-3</v>
      </c>
      <c r="BF78" s="3">
        <v>0.06</v>
      </c>
      <c r="BG78" s="20">
        <f t="shared" si="53"/>
        <v>0.37945599999999902</v>
      </c>
    </row>
    <row r="79" spans="10:59">
      <c r="AL79" s="18" t="s">
        <v>67</v>
      </c>
      <c r="AM79" s="18"/>
      <c r="AN79" s="18" t="s">
        <v>67</v>
      </c>
      <c r="AT79" s="1" t="s">
        <v>101</v>
      </c>
      <c r="AU79" s="46" t="s">
        <v>46</v>
      </c>
      <c r="AV79" s="3" t="s">
        <v>171</v>
      </c>
      <c r="AW79" s="3">
        <v>402</v>
      </c>
      <c r="AX79" s="1" t="s">
        <v>92</v>
      </c>
      <c r="AY79" s="15">
        <v>-7.8780000000000001</v>
      </c>
      <c r="AZ79" s="15">
        <v>0.187</v>
      </c>
      <c r="BA79" s="15">
        <v>-8.3219999999999992</v>
      </c>
      <c r="BB79" s="15">
        <v>7.3999999999999996E-2</v>
      </c>
      <c r="BC79" s="15">
        <f t="shared" si="50"/>
        <v>0.44399999999999906</v>
      </c>
      <c r="BD79" s="15">
        <f t="shared" si="51"/>
        <v>0.20110942295178513</v>
      </c>
      <c r="BE79" s="15">
        <f t="shared" si="52"/>
        <v>4.0445000000000002E-2</v>
      </c>
      <c r="BF79" s="3">
        <v>0.47</v>
      </c>
      <c r="BG79" s="20">
        <f t="shared" si="53"/>
        <v>6.7600000000004744E-4</v>
      </c>
    </row>
    <row r="80" spans="10:59">
      <c r="AL80" s="20">
        <f>SUM(AL69:AL78)</f>
        <v>0.49078100000000002</v>
      </c>
      <c r="AM80" s="20"/>
      <c r="AN80" s="20">
        <f>SUM(AN69:AN78)</f>
        <v>6.7332220000000014</v>
      </c>
      <c r="AT80" s="1" t="s">
        <v>101</v>
      </c>
      <c r="AU80" s="46" t="s">
        <v>46</v>
      </c>
      <c r="AV80" s="3" t="s">
        <v>172</v>
      </c>
      <c r="AW80" s="3">
        <v>403</v>
      </c>
      <c r="AX80" s="1" t="s">
        <v>93</v>
      </c>
      <c r="AY80" s="15">
        <v>11.324999999999999</v>
      </c>
      <c r="AZ80" s="15">
        <v>9.5000000000000001E-2</v>
      </c>
      <c r="BA80" s="15">
        <v>10.597</v>
      </c>
      <c r="BB80" s="15">
        <v>6.3E-2</v>
      </c>
      <c r="BC80" s="15">
        <f t="shared" si="50"/>
        <v>0.72799999999999976</v>
      </c>
      <c r="BD80" s="15">
        <f t="shared" si="51"/>
        <v>0.11399122773266371</v>
      </c>
      <c r="BE80" s="15">
        <f t="shared" si="52"/>
        <v>1.2994E-2</v>
      </c>
      <c r="BF80" s="3">
        <v>-0.43</v>
      </c>
      <c r="BG80" s="20">
        <f t="shared" si="53"/>
        <v>1.3409639999999994</v>
      </c>
    </row>
    <row r="81" spans="38:59">
      <c r="AL81" s="20"/>
      <c r="AM81" s="20"/>
      <c r="AN81" s="20"/>
      <c r="AT81" s="1" t="s">
        <v>101</v>
      </c>
      <c r="AU81" s="46" t="s">
        <v>70</v>
      </c>
      <c r="AV81" s="3" t="s">
        <v>14</v>
      </c>
      <c r="AW81" s="3">
        <v>526</v>
      </c>
      <c r="AX81" s="59" t="s">
        <v>195</v>
      </c>
      <c r="AY81" s="15">
        <v>-5.2809999999999997</v>
      </c>
      <c r="AZ81" s="15">
        <v>7.6999999999999999E-2</v>
      </c>
      <c r="BA81" s="15">
        <v>-5.2610000000000001</v>
      </c>
      <c r="BB81" s="15">
        <v>7.1999999999999995E-2</v>
      </c>
      <c r="BC81" s="15">
        <v>-0.02</v>
      </c>
      <c r="BD81" s="15">
        <v>0.105370774</v>
      </c>
      <c r="BE81" s="15">
        <v>1.1103E-2</v>
      </c>
      <c r="BF81" s="8">
        <v>-0.51</v>
      </c>
      <c r="BG81" s="20">
        <f>(BC81-BF81)^2</f>
        <v>0.24009999999999998</v>
      </c>
    </row>
    <row r="82" spans="38:59">
      <c r="AL82" s="20"/>
      <c r="AM82" s="19" t="s">
        <v>68</v>
      </c>
      <c r="AN82" s="20">
        <f>SQRT(AN80/10)</f>
        <v>0.8205621244000969</v>
      </c>
      <c r="BE82" s="18" t="s">
        <v>67</v>
      </c>
      <c r="BF82" s="18"/>
      <c r="BG82" s="18" t="s">
        <v>67</v>
      </c>
    </row>
    <row r="83" spans="38:59">
      <c r="AL83" s="20"/>
      <c r="AM83" s="19" t="s">
        <v>40</v>
      </c>
      <c r="AN83" s="20">
        <f>SQRT(AL80/10)</f>
        <v>0.22153577589184101</v>
      </c>
      <c r="BE83" s="20">
        <f>SUM(BE72:BE81)</f>
        <v>0.29985000000000001</v>
      </c>
      <c r="BF83" s="20"/>
      <c r="BG83" s="20">
        <f>SUM(BG72:BG81)</f>
        <v>13.007354999999997</v>
      </c>
    </row>
    <row r="84" spans="38:59">
      <c r="BE84" s="20"/>
      <c r="BF84" s="20"/>
      <c r="BG84" s="20"/>
    </row>
    <row r="85" spans="38:59">
      <c r="BE85" s="20"/>
      <c r="BF85" s="19" t="s">
        <v>68</v>
      </c>
      <c r="BG85" s="20">
        <f>SQRT(BG83/10)</f>
        <v>1.1404979175781074</v>
      </c>
    </row>
    <row r="86" spans="38:59">
      <c r="BE86" s="20"/>
      <c r="BF86" s="19" t="s">
        <v>40</v>
      </c>
      <c r="BG86" s="20">
        <f>SQRT(BE83/10)</f>
        <v>0.17316177407268615</v>
      </c>
    </row>
  </sheetData>
  <phoneticPr fontId="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DB4C0-39CA-584B-BB45-22F091872B6C}">
  <dimension ref="A1:AG66"/>
  <sheetViews>
    <sheetView workbookViewId="0">
      <selection activeCell="N64" sqref="N64:N65"/>
    </sheetView>
  </sheetViews>
  <sheetFormatPr baseColWidth="10" defaultRowHeight="16"/>
  <cols>
    <col min="1" max="1" width="10.83203125" style="1"/>
    <col min="3" max="3" width="12.6640625" customWidth="1"/>
    <col min="4" max="4" width="15.33203125" customWidth="1"/>
    <col min="5" max="5" width="12.33203125" customWidth="1"/>
    <col min="7" max="7" width="14.83203125" customWidth="1"/>
    <col min="8" max="8" width="20.83203125" customWidth="1"/>
    <col min="9" max="9" width="14.1640625" customWidth="1"/>
    <col min="10" max="10" width="21.83203125" customWidth="1"/>
    <col min="12" max="12" width="12.83203125" customWidth="1"/>
    <col min="13" max="13" width="13" customWidth="1"/>
    <col min="15" max="15" width="14.5" customWidth="1"/>
    <col min="22" max="22" width="14.83203125" customWidth="1"/>
    <col min="25" max="25" width="13.33203125" customWidth="1"/>
    <col min="26" max="26" width="21" customWidth="1"/>
    <col min="27" max="27" width="16" customWidth="1"/>
    <col min="28" max="28" width="20.5" customWidth="1"/>
    <col min="30" max="30" width="14.33203125" customWidth="1"/>
    <col min="31" max="31" width="15.6640625" customWidth="1"/>
    <col min="33" max="33" width="13.5" customWidth="1"/>
  </cols>
  <sheetData>
    <row r="1" spans="1:33" ht="17">
      <c r="B1" s="10" t="s">
        <v>156</v>
      </c>
      <c r="C1" s="11"/>
      <c r="D1" s="11"/>
      <c r="E1" s="11"/>
      <c r="F1" s="11"/>
      <c r="G1" s="11"/>
      <c r="H1" s="11"/>
      <c r="I1" s="11"/>
      <c r="J1" s="11"/>
      <c r="K1" s="11"/>
      <c r="L1" s="11"/>
      <c r="M1" s="11"/>
      <c r="N1" s="11"/>
      <c r="O1" s="11"/>
      <c r="T1" s="10" t="s">
        <v>157</v>
      </c>
      <c r="U1" s="11"/>
      <c r="V1" s="11"/>
      <c r="W1" s="11"/>
      <c r="X1" s="11"/>
      <c r="Y1" s="11"/>
      <c r="Z1" s="11"/>
      <c r="AA1" s="11"/>
      <c r="AB1" s="11"/>
      <c r="AC1" s="11"/>
      <c r="AD1" s="11"/>
      <c r="AE1" s="11"/>
      <c r="AF1" s="11"/>
      <c r="AG1" s="11"/>
    </row>
    <row r="2" spans="1:33">
      <c r="B2" s="12" t="s">
        <v>30</v>
      </c>
      <c r="C2" s="12" t="s">
        <v>31</v>
      </c>
      <c r="D2" s="13" t="s">
        <v>32</v>
      </c>
      <c r="E2" s="12" t="s">
        <v>33</v>
      </c>
      <c r="F2" s="12" t="s">
        <v>34</v>
      </c>
      <c r="G2" s="12" t="s">
        <v>35</v>
      </c>
      <c r="H2" s="12" t="s">
        <v>36</v>
      </c>
      <c r="I2" s="12" t="s">
        <v>37</v>
      </c>
      <c r="J2" s="12" t="s">
        <v>38</v>
      </c>
      <c r="K2" s="12" t="s">
        <v>39</v>
      </c>
      <c r="L2" s="14" t="s">
        <v>40</v>
      </c>
      <c r="M2" s="12" t="s">
        <v>41</v>
      </c>
      <c r="N2" s="12" t="s">
        <v>42</v>
      </c>
      <c r="O2" s="12" t="s">
        <v>43</v>
      </c>
      <c r="T2" s="12" t="s">
        <v>30</v>
      </c>
      <c r="U2" s="12" t="s">
        <v>31</v>
      </c>
      <c r="V2" s="13" t="s">
        <v>32</v>
      </c>
      <c r="W2" s="12" t="s">
        <v>33</v>
      </c>
      <c r="X2" s="12" t="s">
        <v>34</v>
      </c>
      <c r="Y2" s="12" t="s">
        <v>35</v>
      </c>
      <c r="Z2" s="12" t="s">
        <v>36</v>
      </c>
      <c r="AA2" s="12" t="s">
        <v>37</v>
      </c>
      <c r="AB2" s="12" t="s">
        <v>38</v>
      </c>
      <c r="AC2" s="12" t="s">
        <v>39</v>
      </c>
      <c r="AD2" s="14" t="s">
        <v>40</v>
      </c>
      <c r="AE2" s="12" t="s">
        <v>41</v>
      </c>
      <c r="AF2" s="12" t="s">
        <v>42</v>
      </c>
      <c r="AG2" s="12" t="s">
        <v>43</v>
      </c>
    </row>
    <row r="3" spans="1:33">
      <c r="A3" s="1" t="s">
        <v>213</v>
      </c>
      <c r="B3" s="46" t="s">
        <v>235</v>
      </c>
      <c r="C3" s="46" t="s">
        <v>46</v>
      </c>
      <c r="D3" s="8" t="s">
        <v>5</v>
      </c>
      <c r="E3" s="46" t="s">
        <v>47</v>
      </c>
      <c r="F3" s="46" t="s">
        <v>56</v>
      </c>
      <c r="G3" s="15">
        <v>-13.398999999999999</v>
      </c>
      <c r="H3" s="15">
        <v>0.249</v>
      </c>
      <c r="I3" s="15">
        <v>-13.057</v>
      </c>
      <c r="J3" s="15">
        <v>0.16700000000000001</v>
      </c>
      <c r="K3" s="15">
        <f>(G3-I3)</f>
        <v>-0.34199999999999875</v>
      </c>
      <c r="L3" s="15">
        <f>SQRT((H3)^2 + (J3)^2)</f>
        <v>0.29981661061388842</v>
      </c>
      <c r="M3" s="15">
        <f>L3^2</f>
        <v>8.9889999999999998E-2</v>
      </c>
      <c r="N3" s="8">
        <v>-0.01</v>
      </c>
      <c r="O3" s="15">
        <f>(K3-N3)^2</f>
        <v>0.11022399999999917</v>
      </c>
      <c r="S3" s="1" t="s">
        <v>213</v>
      </c>
      <c r="T3" s="46" t="s">
        <v>235</v>
      </c>
      <c r="U3" s="46" t="s">
        <v>46</v>
      </c>
      <c r="V3" s="8" t="s">
        <v>5</v>
      </c>
      <c r="W3" s="46" t="s">
        <v>47</v>
      </c>
      <c r="X3" s="46" t="s">
        <v>56</v>
      </c>
      <c r="Y3" s="15">
        <v>-13.398999999999999</v>
      </c>
      <c r="Z3" s="15">
        <v>0.249</v>
      </c>
      <c r="AA3" s="15">
        <v>-13.057</v>
      </c>
      <c r="AB3" s="15">
        <v>0.16700000000000001</v>
      </c>
      <c r="AC3" s="15">
        <f>(Y3-AA3)</f>
        <v>-0.34199999999999875</v>
      </c>
      <c r="AD3" s="15">
        <f>SQRT((Z3)^2 + (AB3)^2)</f>
        <v>0.29981661061388842</v>
      </c>
      <c r="AE3" s="15">
        <f>AD3^2</f>
        <v>8.9889999999999998E-2</v>
      </c>
      <c r="AF3" s="8">
        <v>-0.01</v>
      </c>
      <c r="AG3" s="15">
        <f>(AC3-AF3)^2</f>
        <v>0.11022399999999917</v>
      </c>
    </row>
    <row r="4" spans="1:33">
      <c r="A4" s="1" t="s">
        <v>213</v>
      </c>
      <c r="B4" s="46" t="s">
        <v>235</v>
      </c>
      <c r="C4" s="46" t="s">
        <v>46</v>
      </c>
      <c r="D4" s="8" t="s">
        <v>7</v>
      </c>
      <c r="E4" s="46" t="s">
        <v>48</v>
      </c>
      <c r="F4" s="46" t="s">
        <v>57</v>
      </c>
      <c r="G4" s="15">
        <v>10.939</v>
      </c>
      <c r="H4" s="15">
        <v>0.183</v>
      </c>
      <c r="I4" s="15">
        <v>11.262</v>
      </c>
      <c r="J4" s="15">
        <v>0.254</v>
      </c>
      <c r="K4" s="15">
        <f t="shared" ref="K4:K18" si="0">(G4-I4)</f>
        <v>-0.3230000000000004</v>
      </c>
      <c r="L4" s="15">
        <f t="shared" ref="L4:L18" si="1">SQRT((H4)^2 + (J4)^2)</f>
        <v>0.31305750270517396</v>
      </c>
      <c r="M4" s="15">
        <f t="shared" ref="M4:M18" si="2">L4^2</f>
        <v>9.8005000000000009E-2</v>
      </c>
      <c r="N4" s="8">
        <v>0.7</v>
      </c>
      <c r="O4" s="15">
        <f t="shared" ref="O4:O18" si="3">(K4-N4)^2</f>
        <v>1.0465290000000007</v>
      </c>
      <c r="S4" s="1" t="s">
        <v>213</v>
      </c>
      <c r="T4" s="46" t="s">
        <v>235</v>
      </c>
      <c r="U4" s="46" t="s">
        <v>46</v>
      </c>
      <c r="V4" s="8" t="s">
        <v>7</v>
      </c>
      <c r="W4" s="46" t="s">
        <v>48</v>
      </c>
      <c r="X4" s="46" t="s">
        <v>57</v>
      </c>
      <c r="Y4" s="15">
        <v>10.939</v>
      </c>
      <c r="Z4" s="15">
        <v>0.183</v>
      </c>
      <c r="AA4" s="15">
        <v>11.262</v>
      </c>
      <c r="AB4" s="15">
        <v>0.254</v>
      </c>
      <c r="AC4" s="15">
        <f t="shared" ref="AC4:AC17" si="4">(Y4-AA4)</f>
        <v>-0.3230000000000004</v>
      </c>
      <c r="AD4" s="15">
        <f t="shared" ref="AD4:AD17" si="5">SQRT((Z4)^2 + (AB4)^2)</f>
        <v>0.31305750270517396</v>
      </c>
      <c r="AE4" s="15">
        <f t="shared" ref="AE4:AE17" si="6">AD4^2</f>
        <v>9.8005000000000009E-2</v>
      </c>
      <c r="AF4" s="8">
        <v>0.7</v>
      </c>
      <c r="AG4" s="15">
        <f t="shared" ref="AG4:AG17" si="7">(AC4-AF4)^2</f>
        <v>1.0465290000000007</v>
      </c>
    </row>
    <row r="5" spans="1:33">
      <c r="A5" s="1" t="s">
        <v>213</v>
      </c>
      <c r="B5" s="20" t="s">
        <v>101</v>
      </c>
      <c r="C5" s="46" t="s">
        <v>46</v>
      </c>
      <c r="D5" s="8" t="s">
        <v>9</v>
      </c>
      <c r="E5" s="53" t="s">
        <v>83</v>
      </c>
      <c r="F5" s="20" t="s">
        <v>89</v>
      </c>
      <c r="G5" s="20">
        <v>-34.756</v>
      </c>
      <c r="H5" s="20">
        <v>0.41899999999999998</v>
      </c>
      <c r="I5" s="15">
        <v>-37.732999999999997</v>
      </c>
      <c r="J5" s="15">
        <v>0.26400000000000001</v>
      </c>
      <c r="K5" s="15">
        <f t="shared" si="0"/>
        <v>2.9769999999999968</v>
      </c>
      <c r="L5" s="15">
        <f t="shared" si="1"/>
        <v>0.49523428798902847</v>
      </c>
      <c r="M5" s="15">
        <f t="shared" si="2"/>
        <v>0.24525699999999998</v>
      </c>
      <c r="N5" s="8">
        <v>1.19</v>
      </c>
      <c r="O5" s="15">
        <f t="shared" si="3"/>
        <v>3.1933689999999886</v>
      </c>
      <c r="S5" s="1" t="s">
        <v>213</v>
      </c>
      <c r="T5" s="20" t="s">
        <v>101</v>
      </c>
      <c r="U5" s="46" t="s">
        <v>46</v>
      </c>
      <c r="V5" s="8" t="s">
        <v>9</v>
      </c>
      <c r="W5" s="53" t="s">
        <v>83</v>
      </c>
      <c r="X5" s="20" t="s">
        <v>89</v>
      </c>
      <c r="Y5" s="20">
        <v>-34.756</v>
      </c>
      <c r="Z5" s="20">
        <v>0.41899999999999998</v>
      </c>
      <c r="AA5" s="15">
        <v>-37.732999999999997</v>
      </c>
      <c r="AB5" s="15">
        <v>0.26400000000000001</v>
      </c>
      <c r="AC5" s="15">
        <f t="shared" si="4"/>
        <v>2.9769999999999968</v>
      </c>
      <c r="AD5" s="15">
        <f t="shared" si="5"/>
        <v>0.49523428798902847</v>
      </c>
      <c r="AE5" s="15">
        <f t="shared" si="6"/>
        <v>0.24525699999999998</v>
      </c>
      <c r="AF5" s="8">
        <v>1.19</v>
      </c>
      <c r="AG5" s="15">
        <f t="shared" si="7"/>
        <v>3.1933689999999886</v>
      </c>
    </row>
    <row r="6" spans="1:33">
      <c r="A6" s="1" t="s">
        <v>213</v>
      </c>
      <c r="B6" s="20" t="s">
        <v>101</v>
      </c>
      <c r="C6" s="46" t="s">
        <v>46</v>
      </c>
      <c r="D6" s="8" t="s">
        <v>11</v>
      </c>
      <c r="E6" s="53" t="s">
        <v>84</v>
      </c>
      <c r="F6" s="20" t="s">
        <v>90</v>
      </c>
      <c r="G6" s="15">
        <v>-40.82</v>
      </c>
      <c r="H6" s="15">
        <v>0.33</v>
      </c>
      <c r="I6" s="15">
        <v>-41.286000000000001</v>
      </c>
      <c r="J6" s="15">
        <v>0.107</v>
      </c>
      <c r="K6" s="15">
        <f t="shared" si="0"/>
        <v>0.46600000000000108</v>
      </c>
      <c r="L6" s="15">
        <f t="shared" si="1"/>
        <v>0.34691353389569568</v>
      </c>
      <c r="M6" s="15">
        <f t="shared" si="2"/>
        <v>0.120349</v>
      </c>
      <c r="N6" s="8">
        <v>1.28</v>
      </c>
      <c r="O6" s="15">
        <f t="shared" si="3"/>
        <v>0.6625959999999983</v>
      </c>
      <c r="S6" s="1" t="s">
        <v>213</v>
      </c>
      <c r="T6" s="20" t="s">
        <v>101</v>
      </c>
      <c r="U6" s="46" t="s">
        <v>46</v>
      </c>
      <c r="V6" s="8" t="s">
        <v>11</v>
      </c>
      <c r="W6" s="53" t="s">
        <v>84</v>
      </c>
      <c r="X6" s="20" t="s">
        <v>90</v>
      </c>
      <c r="Y6" s="15">
        <v>-40.82</v>
      </c>
      <c r="Z6" s="15">
        <v>0.33</v>
      </c>
      <c r="AA6" s="15">
        <v>-41.286000000000001</v>
      </c>
      <c r="AB6" s="15">
        <v>0.107</v>
      </c>
      <c r="AC6" s="15">
        <f t="shared" si="4"/>
        <v>0.46600000000000108</v>
      </c>
      <c r="AD6" s="15">
        <f t="shared" si="5"/>
        <v>0.34691353389569568</v>
      </c>
      <c r="AE6" s="15">
        <f t="shared" si="6"/>
        <v>0.120349</v>
      </c>
      <c r="AF6" s="8">
        <v>1.28</v>
      </c>
      <c r="AG6" s="15">
        <f t="shared" si="7"/>
        <v>0.6625959999999983</v>
      </c>
    </row>
    <row r="7" spans="1:33">
      <c r="A7" s="1" t="s">
        <v>213</v>
      </c>
      <c r="B7" s="20" t="s">
        <v>82</v>
      </c>
      <c r="C7" s="46" t="s">
        <v>46</v>
      </c>
      <c r="D7" s="8" t="s">
        <v>13</v>
      </c>
      <c r="E7" s="55" t="s">
        <v>49</v>
      </c>
      <c r="F7" s="20" t="s">
        <v>58</v>
      </c>
      <c r="G7" s="15">
        <v>11.664999999999999</v>
      </c>
      <c r="H7" s="15">
        <v>0.20100000000000001</v>
      </c>
      <c r="I7" s="15">
        <v>11.569000000000001</v>
      </c>
      <c r="J7" s="15">
        <v>2.1000000000000001E-2</v>
      </c>
      <c r="K7" s="15">
        <f t="shared" si="0"/>
        <v>9.5999999999998309E-2</v>
      </c>
      <c r="L7" s="15">
        <f t="shared" si="1"/>
        <v>0.20209403751719149</v>
      </c>
      <c r="M7" s="15">
        <f t="shared" si="2"/>
        <v>4.0842000000000003E-2</v>
      </c>
      <c r="N7" s="8">
        <v>-1.28</v>
      </c>
      <c r="O7" s="15">
        <f t="shared" si="3"/>
        <v>1.8933759999999955</v>
      </c>
      <c r="S7" s="1" t="s">
        <v>213</v>
      </c>
      <c r="T7" s="20" t="s">
        <v>82</v>
      </c>
      <c r="U7" s="46" t="s">
        <v>46</v>
      </c>
      <c r="V7" s="8" t="s">
        <v>13</v>
      </c>
      <c r="W7" s="55" t="s">
        <v>49</v>
      </c>
      <c r="X7" s="20" t="s">
        <v>58</v>
      </c>
      <c r="Y7" s="15">
        <v>11.664999999999999</v>
      </c>
      <c r="Z7" s="15">
        <v>0.20100000000000001</v>
      </c>
      <c r="AA7" s="15">
        <v>11.569000000000001</v>
      </c>
      <c r="AB7" s="15">
        <v>2.1000000000000001E-2</v>
      </c>
      <c r="AC7" s="15">
        <f t="shared" si="4"/>
        <v>9.5999999999998309E-2</v>
      </c>
      <c r="AD7" s="15">
        <f t="shared" si="5"/>
        <v>0.20209403751719149</v>
      </c>
      <c r="AE7" s="15">
        <f t="shared" si="6"/>
        <v>4.0842000000000003E-2</v>
      </c>
      <c r="AF7" s="8">
        <v>-1.28</v>
      </c>
      <c r="AG7" s="15">
        <f t="shared" si="7"/>
        <v>1.8933759999999955</v>
      </c>
    </row>
    <row r="8" spans="1:33">
      <c r="A8" s="1" t="s">
        <v>213</v>
      </c>
      <c r="B8" s="46" t="s">
        <v>82</v>
      </c>
      <c r="C8" s="46" t="s">
        <v>46</v>
      </c>
      <c r="D8" s="8" t="s">
        <v>15</v>
      </c>
      <c r="E8" s="46" t="s">
        <v>50</v>
      </c>
      <c r="F8" s="46" t="s">
        <v>59</v>
      </c>
      <c r="G8" s="15">
        <v>14.804</v>
      </c>
      <c r="H8" s="15">
        <v>0.19500000000000001</v>
      </c>
      <c r="I8" s="15">
        <v>13.321999999999999</v>
      </c>
      <c r="J8" s="15">
        <v>0.20899999999999999</v>
      </c>
      <c r="K8" s="15">
        <f t="shared" si="0"/>
        <v>1.4820000000000011</v>
      </c>
      <c r="L8" s="15">
        <f t="shared" si="1"/>
        <v>0.28584261403786526</v>
      </c>
      <c r="M8" s="15">
        <f t="shared" si="2"/>
        <v>8.1706000000000001E-2</v>
      </c>
      <c r="N8" s="8">
        <v>1.26</v>
      </c>
      <c r="O8" s="15">
        <f t="shared" si="3"/>
        <v>4.928400000000048E-2</v>
      </c>
      <c r="S8" s="1" t="s">
        <v>213</v>
      </c>
      <c r="T8" s="46" t="s">
        <v>82</v>
      </c>
      <c r="U8" s="46" t="s">
        <v>46</v>
      </c>
      <c r="V8" s="8" t="s">
        <v>15</v>
      </c>
      <c r="W8" s="46" t="s">
        <v>50</v>
      </c>
      <c r="X8" s="46" t="s">
        <v>59</v>
      </c>
      <c r="Y8" s="15">
        <v>14.804</v>
      </c>
      <c r="Z8" s="15">
        <v>0.19500000000000001</v>
      </c>
      <c r="AA8" s="15">
        <v>13.321999999999999</v>
      </c>
      <c r="AB8" s="15">
        <v>0.20899999999999999</v>
      </c>
      <c r="AC8" s="15">
        <f t="shared" si="4"/>
        <v>1.4820000000000011</v>
      </c>
      <c r="AD8" s="15">
        <f t="shared" si="5"/>
        <v>0.28584261403786526</v>
      </c>
      <c r="AE8" s="15">
        <f t="shared" si="6"/>
        <v>8.1706000000000001E-2</v>
      </c>
      <c r="AF8" s="8">
        <v>1.26</v>
      </c>
      <c r="AG8" s="15">
        <f t="shared" si="7"/>
        <v>4.928400000000048E-2</v>
      </c>
    </row>
    <row r="9" spans="1:33">
      <c r="A9" s="1" t="s">
        <v>213</v>
      </c>
      <c r="B9" s="46" t="s">
        <v>82</v>
      </c>
      <c r="C9" s="46" t="s">
        <v>46</v>
      </c>
      <c r="D9" s="8" t="s">
        <v>16</v>
      </c>
      <c r="E9" s="46" t="s">
        <v>51</v>
      </c>
      <c r="F9" s="46" t="s">
        <v>60</v>
      </c>
      <c r="G9" s="15">
        <v>-5.4770000000000003</v>
      </c>
      <c r="H9" s="15">
        <v>0.129</v>
      </c>
      <c r="I9" s="15">
        <v>-6.0810000000000004</v>
      </c>
      <c r="J9" s="15">
        <v>3.1E-2</v>
      </c>
      <c r="K9" s="15">
        <f t="shared" si="0"/>
        <v>0.60400000000000009</v>
      </c>
      <c r="L9" s="15">
        <f t="shared" si="1"/>
        <v>0.13267252918370101</v>
      </c>
      <c r="M9" s="15">
        <f t="shared" si="2"/>
        <v>1.7601999999999996E-2</v>
      </c>
      <c r="N9" s="8">
        <v>1.35</v>
      </c>
      <c r="O9" s="15">
        <f t="shared" si="3"/>
        <v>0.55651600000000001</v>
      </c>
      <c r="S9" s="1" t="s">
        <v>213</v>
      </c>
      <c r="T9" s="46" t="s">
        <v>82</v>
      </c>
      <c r="U9" s="46" t="s">
        <v>46</v>
      </c>
      <c r="V9" s="8" t="s">
        <v>16</v>
      </c>
      <c r="W9" s="46" t="s">
        <v>51</v>
      </c>
      <c r="X9" s="46" t="s">
        <v>60</v>
      </c>
      <c r="Y9" s="15">
        <v>-5.4770000000000003</v>
      </c>
      <c r="Z9" s="15">
        <v>0.129</v>
      </c>
      <c r="AA9" s="15">
        <v>-6.0810000000000004</v>
      </c>
      <c r="AB9" s="15">
        <v>3.1E-2</v>
      </c>
      <c r="AC9" s="15">
        <f t="shared" si="4"/>
        <v>0.60400000000000009</v>
      </c>
      <c r="AD9" s="15">
        <f t="shared" si="5"/>
        <v>0.13267252918370101</v>
      </c>
      <c r="AE9" s="15">
        <f t="shared" si="6"/>
        <v>1.7601999999999996E-2</v>
      </c>
      <c r="AF9" s="8">
        <v>1.35</v>
      </c>
      <c r="AG9" s="15">
        <f t="shared" si="7"/>
        <v>0.55651600000000001</v>
      </c>
    </row>
    <row r="10" spans="1:33">
      <c r="A10" s="1" t="s">
        <v>213</v>
      </c>
      <c r="B10" s="46" t="s">
        <v>82</v>
      </c>
      <c r="C10" s="46" t="s">
        <v>46</v>
      </c>
      <c r="D10" s="8" t="s">
        <v>17</v>
      </c>
      <c r="E10" s="46" t="s">
        <v>52</v>
      </c>
      <c r="F10" s="46" t="s">
        <v>61</v>
      </c>
      <c r="G10" s="15">
        <v>71.843000000000004</v>
      </c>
      <c r="H10" s="15">
        <v>0.31900000000000001</v>
      </c>
      <c r="I10" s="15">
        <v>70.042000000000002</v>
      </c>
      <c r="J10" s="15">
        <v>6.8000000000000005E-2</v>
      </c>
      <c r="K10" s="15">
        <f t="shared" si="0"/>
        <v>1.8010000000000019</v>
      </c>
      <c r="L10" s="15">
        <f t="shared" si="1"/>
        <v>0.32616713507035011</v>
      </c>
      <c r="M10" s="15">
        <f t="shared" si="2"/>
        <v>0.10638500000000001</v>
      </c>
      <c r="N10" s="8">
        <v>1.76</v>
      </c>
      <c r="O10" s="15">
        <f t="shared" si="3"/>
        <v>1.6810000000001578E-3</v>
      </c>
      <c r="S10" s="1" t="s">
        <v>213</v>
      </c>
      <c r="T10" s="46" t="s">
        <v>82</v>
      </c>
      <c r="U10" s="46" t="s">
        <v>46</v>
      </c>
      <c r="V10" s="8" t="s">
        <v>17</v>
      </c>
      <c r="W10" s="46" t="s">
        <v>52</v>
      </c>
      <c r="X10" s="46" t="s">
        <v>61</v>
      </c>
      <c r="Y10" s="15">
        <v>71.843000000000004</v>
      </c>
      <c r="Z10" s="15">
        <v>0.31900000000000001</v>
      </c>
      <c r="AA10" s="15">
        <v>70.042000000000002</v>
      </c>
      <c r="AB10" s="15">
        <v>6.8000000000000005E-2</v>
      </c>
      <c r="AC10" s="15">
        <f t="shared" si="4"/>
        <v>1.8010000000000019</v>
      </c>
      <c r="AD10" s="15">
        <f t="shared" si="5"/>
        <v>0.32616713507035011</v>
      </c>
      <c r="AE10" s="15">
        <f t="shared" si="6"/>
        <v>0.10638500000000001</v>
      </c>
      <c r="AF10" s="8">
        <v>1.76</v>
      </c>
      <c r="AG10" s="15">
        <f t="shared" si="7"/>
        <v>1.6810000000001578E-3</v>
      </c>
    </row>
    <row r="11" spans="1:33">
      <c r="A11" s="1" t="s">
        <v>213</v>
      </c>
      <c r="B11" s="20" t="s">
        <v>82</v>
      </c>
      <c r="C11" s="46" t="s">
        <v>46</v>
      </c>
      <c r="D11" s="8" t="s">
        <v>18</v>
      </c>
      <c r="E11" s="55" t="s">
        <v>85</v>
      </c>
      <c r="F11" s="20" t="s">
        <v>91</v>
      </c>
      <c r="G11" s="15">
        <v>-6.5830000000000002</v>
      </c>
      <c r="H11" s="15">
        <v>0.23400000000000001</v>
      </c>
      <c r="I11" s="15">
        <v>-7.016</v>
      </c>
      <c r="J11" s="15">
        <v>0.11799999999999999</v>
      </c>
      <c r="K11" s="15">
        <f t="shared" si="0"/>
        <v>0.43299999999999983</v>
      </c>
      <c r="L11" s="15">
        <f t="shared" si="1"/>
        <v>0.2620686932847951</v>
      </c>
      <c r="M11" s="15">
        <f t="shared" si="2"/>
        <v>6.8680000000000005E-2</v>
      </c>
      <c r="N11" s="8">
        <v>0.54</v>
      </c>
      <c r="O11" s="15">
        <f t="shared" si="3"/>
        <v>1.1449000000000044E-2</v>
      </c>
      <c r="S11" s="1" t="s">
        <v>213</v>
      </c>
      <c r="T11" s="20" t="s">
        <v>82</v>
      </c>
      <c r="U11" s="46" t="s">
        <v>46</v>
      </c>
      <c r="V11" s="8" t="s">
        <v>18</v>
      </c>
      <c r="W11" s="55" t="s">
        <v>85</v>
      </c>
      <c r="X11" s="20" t="s">
        <v>91</v>
      </c>
      <c r="Y11" s="15">
        <v>-6.5830000000000002</v>
      </c>
      <c r="Z11" s="15">
        <v>0.23400000000000001</v>
      </c>
      <c r="AA11" s="15">
        <v>-7.016</v>
      </c>
      <c r="AB11" s="15">
        <v>0.11799999999999999</v>
      </c>
      <c r="AC11" s="15">
        <f t="shared" si="4"/>
        <v>0.43299999999999983</v>
      </c>
      <c r="AD11" s="15">
        <f t="shared" si="5"/>
        <v>0.2620686932847951</v>
      </c>
      <c r="AE11" s="15">
        <f t="shared" si="6"/>
        <v>6.8680000000000005E-2</v>
      </c>
      <c r="AF11" s="8">
        <v>0.54</v>
      </c>
      <c r="AG11" s="15">
        <f t="shared" si="7"/>
        <v>1.1449000000000044E-2</v>
      </c>
    </row>
    <row r="12" spans="1:33">
      <c r="A12" s="1" t="s">
        <v>213</v>
      </c>
      <c r="B12" s="46" t="s">
        <v>82</v>
      </c>
      <c r="C12" s="46" t="s">
        <v>46</v>
      </c>
      <c r="D12" s="8" t="s">
        <v>20</v>
      </c>
      <c r="E12" s="46" t="s">
        <v>53</v>
      </c>
      <c r="F12" s="46" t="s">
        <v>62</v>
      </c>
      <c r="G12" s="15">
        <v>46.905999999999999</v>
      </c>
      <c r="H12" s="15">
        <v>0.184</v>
      </c>
      <c r="I12" s="15">
        <v>45.795000000000002</v>
      </c>
      <c r="J12" s="15">
        <v>5.5E-2</v>
      </c>
      <c r="K12" s="15">
        <f t="shared" si="0"/>
        <v>1.1109999999999971</v>
      </c>
      <c r="L12" s="15">
        <f t="shared" si="1"/>
        <v>0.19204426573058617</v>
      </c>
      <c r="M12" s="15">
        <f t="shared" si="2"/>
        <v>3.688099999999999E-2</v>
      </c>
      <c r="N12" s="8">
        <v>-0.35</v>
      </c>
      <c r="O12" s="15">
        <f t="shared" si="3"/>
        <v>2.1345209999999919</v>
      </c>
      <c r="S12" s="1" t="s">
        <v>213</v>
      </c>
      <c r="T12" s="46" t="s">
        <v>82</v>
      </c>
      <c r="U12" s="46" t="s">
        <v>46</v>
      </c>
      <c r="V12" s="8" t="s">
        <v>20</v>
      </c>
      <c r="W12" s="46" t="s">
        <v>53</v>
      </c>
      <c r="X12" s="46" t="s">
        <v>62</v>
      </c>
      <c r="Y12" s="15">
        <v>46.905999999999999</v>
      </c>
      <c r="Z12" s="15">
        <v>0.184</v>
      </c>
      <c r="AA12" s="15">
        <v>45.795000000000002</v>
      </c>
      <c r="AB12" s="15">
        <v>5.5E-2</v>
      </c>
      <c r="AC12" s="15">
        <f t="shared" si="4"/>
        <v>1.1109999999999971</v>
      </c>
      <c r="AD12" s="15">
        <f t="shared" si="5"/>
        <v>0.19204426573058617</v>
      </c>
      <c r="AE12" s="15">
        <f t="shared" si="6"/>
        <v>3.688099999999999E-2</v>
      </c>
      <c r="AF12" s="8">
        <v>-0.35</v>
      </c>
      <c r="AG12" s="15">
        <f t="shared" si="7"/>
        <v>2.1345209999999919</v>
      </c>
    </row>
    <row r="13" spans="1:33">
      <c r="A13" s="1" t="s">
        <v>213</v>
      </c>
      <c r="B13" s="46" t="s">
        <v>82</v>
      </c>
      <c r="C13" s="46" t="s">
        <v>46</v>
      </c>
      <c r="D13" s="8" t="s">
        <v>22</v>
      </c>
      <c r="E13" s="46" t="s">
        <v>54</v>
      </c>
      <c r="F13" s="46" t="s">
        <v>63</v>
      </c>
      <c r="G13" s="15">
        <v>-2.1920000000000002</v>
      </c>
      <c r="H13" s="15">
        <v>0.159</v>
      </c>
      <c r="I13" s="15">
        <v>-2.2450000000000001</v>
      </c>
      <c r="J13" s="15">
        <v>0.10299999999999999</v>
      </c>
      <c r="K13" s="15">
        <f t="shared" si="0"/>
        <v>5.2999999999999936E-2</v>
      </c>
      <c r="L13" s="15">
        <f t="shared" si="1"/>
        <v>0.18944656238633625</v>
      </c>
      <c r="M13" s="15">
        <f t="shared" si="2"/>
        <v>3.5889999999999991E-2</v>
      </c>
      <c r="N13" s="8">
        <v>0.52</v>
      </c>
      <c r="O13" s="15">
        <f t="shared" si="3"/>
        <v>0.21808900000000009</v>
      </c>
      <c r="S13" s="1" t="s">
        <v>213</v>
      </c>
      <c r="T13" s="46" t="s">
        <v>82</v>
      </c>
      <c r="U13" s="46" t="s">
        <v>46</v>
      </c>
      <c r="V13" s="8" t="s">
        <v>22</v>
      </c>
      <c r="W13" s="46" t="s">
        <v>54</v>
      </c>
      <c r="X13" s="46" t="s">
        <v>63</v>
      </c>
      <c r="Y13" s="15">
        <v>-2.1920000000000002</v>
      </c>
      <c r="Z13" s="15">
        <v>0.159</v>
      </c>
      <c r="AA13" s="15">
        <v>-2.2450000000000001</v>
      </c>
      <c r="AB13" s="15">
        <v>0.10299999999999999</v>
      </c>
      <c r="AC13" s="15">
        <f t="shared" si="4"/>
        <v>5.2999999999999936E-2</v>
      </c>
      <c r="AD13" s="15">
        <f t="shared" si="5"/>
        <v>0.18944656238633625</v>
      </c>
      <c r="AE13" s="15">
        <f t="shared" si="6"/>
        <v>3.5889999999999991E-2</v>
      </c>
      <c r="AF13" s="8">
        <v>0.52</v>
      </c>
      <c r="AG13" s="15">
        <f t="shared" si="7"/>
        <v>0.21808900000000009</v>
      </c>
    </row>
    <row r="14" spans="1:33">
      <c r="A14" s="1" t="s">
        <v>213</v>
      </c>
      <c r="B14" s="46" t="s">
        <v>82</v>
      </c>
      <c r="C14" s="46" t="s">
        <v>46</v>
      </c>
      <c r="D14" s="8" t="s">
        <v>23</v>
      </c>
      <c r="E14" s="46" t="s">
        <v>55</v>
      </c>
      <c r="F14" s="46" t="s">
        <v>64</v>
      </c>
      <c r="G14" s="15">
        <v>-4.4020000000000001</v>
      </c>
      <c r="H14" s="15">
        <v>0.20300000000000001</v>
      </c>
      <c r="I14" s="15">
        <v>-4.3949999999999996</v>
      </c>
      <c r="J14" s="15">
        <v>0.108</v>
      </c>
      <c r="K14" s="15">
        <f t="shared" si="0"/>
        <v>-7.0000000000005613E-3</v>
      </c>
      <c r="L14" s="15">
        <f t="shared" si="1"/>
        <v>0.22994129685639333</v>
      </c>
      <c r="M14" s="15">
        <f t="shared" si="2"/>
        <v>5.2873000000000003E-2</v>
      </c>
      <c r="N14" s="8">
        <v>1.08</v>
      </c>
      <c r="O14" s="15">
        <f t="shared" si="3"/>
        <v>1.1815690000000014</v>
      </c>
      <c r="S14" s="1" t="s">
        <v>213</v>
      </c>
      <c r="T14" s="46" t="s">
        <v>82</v>
      </c>
      <c r="U14" s="46" t="s">
        <v>46</v>
      </c>
      <c r="V14" s="8" t="s">
        <v>23</v>
      </c>
      <c r="W14" s="46" t="s">
        <v>55</v>
      </c>
      <c r="X14" s="46" t="s">
        <v>64</v>
      </c>
      <c r="Y14" s="15">
        <v>-4.4020000000000001</v>
      </c>
      <c r="Z14" s="15">
        <v>0.20300000000000001</v>
      </c>
      <c r="AA14" s="15">
        <v>-4.3949999999999996</v>
      </c>
      <c r="AB14" s="15">
        <v>0.108</v>
      </c>
      <c r="AC14" s="15">
        <f t="shared" si="4"/>
        <v>-7.0000000000005613E-3</v>
      </c>
      <c r="AD14" s="15">
        <f t="shared" si="5"/>
        <v>0.22994129685639333</v>
      </c>
      <c r="AE14" s="15">
        <f t="shared" si="6"/>
        <v>5.2873000000000003E-2</v>
      </c>
      <c r="AF14" s="8">
        <v>1.08</v>
      </c>
      <c r="AG14" s="15">
        <f t="shared" si="7"/>
        <v>1.1815690000000014</v>
      </c>
    </row>
    <row r="15" spans="1:33">
      <c r="A15" s="1" t="s">
        <v>213</v>
      </c>
      <c r="B15" s="20" t="s">
        <v>101</v>
      </c>
      <c r="C15" s="46" t="s">
        <v>46</v>
      </c>
      <c r="D15" s="42" t="s">
        <v>24</v>
      </c>
      <c r="E15" s="53" t="s">
        <v>86</v>
      </c>
      <c r="F15" s="20" t="s">
        <v>92</v>
      </c>
      <c r="G15" s="15">
        <v>-9.1530000000000005</v>
      </c>
      <c r="H15" s="15">
        <v>0.252</v>
      </c>
      <c r="I15" s="15">
        <v>-8.1880000000000006</v>
      </c>
      <c r="J15" s="15">
        <v>6.5000000000000002E-2</v>
      </c>
      <c r="K15" s="15">
        <f t="shared" si="0"/>
        <v>-0.96499999999999986</v>
      </c>
      <c r="L15" s="15">
        <f t="shared" si="1"/>
        <v>0.26024795868555822</v>
      </c>
      <c r="M15" s="15">
        <f t="shared" si="2"/>
        <v>6.7729000000000025E-2</v>
      </c>
      <c r="N15" s="8">
        <v>1.42</v>
      </c>
      <c r="O15" s="15">
        <f t="shared" si="3"/>
        <v>5.6882249999999992</v>
      </c>
      <c r="S15" s="1" t="s">
        <v>213</v>
      </c>
      <c r="T15" s="46" t="s">
        <v>82</v>
      </c>
      <c r="U15" s="46" t="s">
        <v>46</v>
      </c>
      <c r="V15" s="8" t="s">
        <v>27</v>
      </c>
      <c r="W15" s="46" t="s">
        <v>28</v>
      </c>
      <c r="X15" s="46" t="s">
        <v>65</v>
      </c>
      <c r="Y15" s="15">
        <v>-8.2170000000000005</v>
      </c>
      <c r="Z15" s="15">
        <v>0.112</v>
      </c>
      <c r="AA15" s="15">
        <v>-8.6379999999999999</v>
      </c>
      <c r="AB15" s="15">
        <v>4.2999999999999997E-2</v>
      </c>
      <c r="AC15" s="15">
        <f t="shared" si="4"/>
        <v>0.42099999999999937</v>
      </c>
      <c r="AD15" s="15">
        <f t="shared" si="5"/>
        <v>0.11997082978791136</v>
      </c>
      <c r="AE15" s="15">
        <f t="shared" si="6"/>
        <v>1.4393E-2</v>
      </c>
      <c r="AF15" s="50">
        <v>-0.21</v>
      </c>
      <c r="AG15" s="15">
        <f t="shared" si="7"/>
        <v>0.39816099999999915</v>
      </c>
    </row>
    <row r="16" spans="1:33">
      <c r="A16" s="1" t="s">
        <v>213</v>
      </c>
      <c r="B16" s="46" t="s">
        <v>82</v>
      </c>
      <c r="C16" s="46" t="s">
        <v>46</v>
      </c>
      <c r="D16" s="8" t="s">
        <v>27</v>
      </c>
      <c r="E16" s="46" t="s">
        <v>28</v>
      </c>
      <c r="F16" s="46" t="s">
        <v>65</v>
      </c>
      <c r="G16" s="15">
        <v>-8.2170000000000005</v>
      </c>
      <c r="H16" s="15">
        <v>0.112</v>
      </c>
      <c r="I16" s="15">
        <v>-8.6379999999999999</v>
      </c>
      <c r="J16" s="15">
        <v>4.2999999999999997E-2</v>
      </c>
      <c r="K16" s="15">
        <f t="shared" si="0"/>
        <v>0.42099999999999937</v>
      </c>
      <c r="L16" s="15">
        <f t="shared" si="1"/>
        <v>0.11997082978791136</v>
      </c>
      <c r="M16" s="15">
        <f t="shared" si="2"/>
        <v>1.4393E-2</v>
      </c>
      <c r="N16" s="50">
        <v>-0.21</v>
      </c>
      <c r="O16" s="15">
        <f t="shared" si="3"/>
        <v>0.39816099999999915</v>
      </c>
      <c r="S16" s="1" t="s">
        <v>213</v>
      </c>
      <c r="T16" s="46" t="s">
        <v>235</v>
      </c>
      <c r="U16" s="46" t="s">
        <v>46</v>
      </c>
      <c r="V16" s="8" t="s">
        <v>25</v>
      </c>
      <c r="W16" s="46" t="s">
        <v>87</v>
      </c>
      <c r="X16" s="46" t="s">
        <v>93</v>
      </c>
      <c r="Y16" s="15">
        <v>71.721999999999994</v>
      </c>
      <c r="Z16" s="15">
        <v>0.29499999999999998</v>
      </c>
      <c r="AA16" s="15">
        <v>70.009</v>
      </c>
      <c r="AB16" s="15">
        <v>0.104</v>
      </c>
      <c r="AC16" s="15">
        <f t="shared" si="4"/>
        <v>1.7129999999999939</v>
      </c>
      <c r="AD16" s="15">
        <f t="shared" si="5"/>
        <v>0.31279546032511402</v>
      </c>
      <c r="AE16" s="15">
        <f t="shared" si="6"/>
        <v>9.7840999999999984E-2</v>
      </c>
      <c r="AF16" s="8">
        <v>1.1100000000000001</v>
      </c>
      <c r="AG16" s="15">
        <f t="shared" si="7"/>
        <v>0.36360899999999247</v>
      </c>
    </row>
    <row r="17" spans="1:33">
      <c r="A17" s="1" t="s">
        <v>213</v>
      </c>
      <c r="B17" s="46" t="s">
        <v>235</v>
      </c>
      <c r="C17" s="46" t="s">
        <v>46</v>
      </c>
      <c r="D17" s="8" t="s">
        <v>25</v>
      </c>
      <c r="E17" s="46" t="s">
        <v>87</v>
      </c>
      <c r="F17" s="46" t="s">
        <v>93</v>
      </c>
      <c r="G17" s="15">
        <v>71.721999999999994</v>
      </c>
      <c r="H17" s="15">
        <v>0.29499999999999998</v>
      </c>
      <c r="I17" s="15">
        <v>70.009</v>
      </c>
      <c r="J17" s="15">
        <v>0.104</v>
      </c>
      <c r="K17" s="15">
        <f t="shared" si="0"/>
        <v>1.7129999999999939</v>
      </c>
      <c r="L17" s="15">
        <f t="shared" si="1"/>
        <v>0.31279546032511402</v>
      </c>
      <c r="M17" s="15">
        <f t="shared" si="2"/>
        <v>9.7840999999999984E-2</v>
      </c>
      <c r="N17" s="8">
        <v>1.1100000000000001</v>
      </c>
      <c r="O17" s="15">
        <f t="shared" si="3"/>
        <v>0.36360899999999247</v>
      </c>
      <c r="S17" s="1" t="s">
        <v>213</v>
      </c>
      <c r="T17" s="20" t="s">
        <v>101</v>
      </c>
      <c r="U17" s="46" t="s">
        <v>46</v>
      </c>
      <c r="V17" s="8" t="s">
        <v>26</v>
      </c>
      <c r="W17" s="55" t="s">
        <v>88</v>
      </c>
      <c r="X17" s="20" t="s">
        <v>94</v>
      </c>
      <c r="Y17" s="20">
        <v>-35.145000000000003</v>
      </c>
      <c r="Z17" s="20">
        <v>0.308</v>
      </c>
      <c r="AA17" s="20">
        <v>-39.378</v>
      </c>
      <c r="AB17" s="20">
        <v>0.28899999999999998</v>
      </c>
      <c r="AC17" s="15">
        <f t="shared" si="4"/>
        <v>4.232999999999997</v>
      </c>
      <c r="AD17" s="15">
        <f t="shared" si="5"/>
        <v>0.42235648450094854</v>
      </c>
      <c r="AE17" s="15">
        <f t="shared" si="6"/>
        <v>0.17838499999999999</v>
      </c>
      <c r="AF17" s="8">
        <v>4.45</v>
      </c>
      <c r="AG17" s="15">
        <f t="shared" si="7"/>
        <v>4.7089000000001387E-2</v>
      </c>
    </row>
    <row r="18" spans="1:33">
      <c r="A18" s="1" t="s">
        <v>213</v>
      </c>
      <c r="B18" s="20" t="s">
        <v>101</v>
      </c>
      <c r="C18" s="46" t="s">
        <v>46</v>
      </c>
      <c r="D18" s="8" t="s">
        <v>26</v>
      </c>
      <c r="E18" s="55" t="s">
        <v>88</v>
      </c>
      <c r="F18" s="20" t="s">
        <v>94</v>
      </c>
      <c r="G18" s="20">
        <v>-35.145000000000003</v>
      </c>
      <c r="H18" s="20">
        <v>0.308</v>
      </c>
      <c r="I18" s="20">
        <v>-39.378</v>
      </c>
      <c r="J18" s="20">
        <v>0.28899999999999998</v>
      </c>
      <c r="K18" s="15">
        <f t="shared" si="0"/>
        <v>4.232999999999997</v>
      </c>
      <c r="L18" s="15">
        <f t="shared" si="1"/>
        <v>0.42235648450094854</v>
      </c>
      <c r="M18" s="15">
        <f t="shared" si="2"/>
        <v>0.17838499999999999</v>
      </c>
      <c r="N18" s="8">
        <v>4.45</v>
      </c>
      <c r="O18" s="15">
        <f t="shared" si="3"/>
        <v>4.7089000000001387E-2</v>
      </c>
      <c r="S18" s="1" t="s">
        <v>213</v>
      </c>
      <c r="T18" s="46" t="s">
        <v>82</v>
      </c>
      <c r="U18" s="46" t="s">
        <v>70</v>
      </c>
      <c r="V18" s="8" t="s">
        <v>4</v>
      </c>
      <c r="W18" s="51">
        <v>547</v>
      </c>
      <c r="X18" s="44" t="s">
        <v>229</v>
      </c>
      <c r="Y18" s="15">
        <v>46.506999999999998</v>
      </c>
      <c r="Z18" s="15">
        <v>0.156</v>
      </c>
      <c r="AA18" s="15">
        <v>46.517000000000003</v>
      </c>
      <c r="AB18" s="15">
        <v>4.1000000000000002E-2</v>
      </c>
      <c r="AC18" s="15">
        <f>(Y18-AA18)</f>
        <v>-1.0000000000005116E-2</v>
      </c>
      <c r="AD18" s="15">
        <f>SQRT((Z18)^2 + (AB18)^2)</f>
        <v>0.16129786111415118</v>
      </c>
      <c r="AE18" s="45">
        <f>AD18^2</f>
        <v>2.6017000000000002E-2</v>
      </c>
      <c r="AF18" s="8">
        <v>-0.24</v>
      </c>
      <c r="AG18" s="45">
        <f>(AC18-AF18)^2</f>
        <v>5.2899999999997643E-2</v>
      </c>
    </row>
    <row r="19" spans="1:33">
      <c r="A19" s="1" t="s">
        <v>213</v>
      </c>
      <c r="B19" s="46" t="s">
        <v>82</v>
      </c>
      <c r="C19" s="46" t="s">
        <v>70</v>
      </c>
      <c r="D19" s="8" t="s">
        <v>4</v>
      </c>
      <c r="E19" s="51">
        <v>547</v>
      </c>
      <c r="F19" s="44" t="s">
        <v>229</v>
      </c>
      <c r="G19" s="15">
        <v>46.506999999999998</v>
      </c>
      <c r="H19" s="15">
        <v>0.156</v>
      </c>
      <c r="I19" s="15">
        <v>46.517000000000003</v>
      </c>
      <c r="J19" s="15">
        <v>4.1000000000000002E-2</v>
      </c>
      <c r="K19" s="15">
        <f>(G19-I19)</f>
        <v>-1.0000000000005116E-2</v>
      </c>
      <c r="L19" s="15">
        <f>SQRT((H19)^2 + (J19)^2)</f>
        <v>0.16129786111415118</v>
      </c>
      <c r="M19" s="45">
        <f>L19^2</f>
        <v>2.6017000000000002E-2</v>
      </c>
      <c r="N19" s="8">
        <v>-0.24</v>
      </c>
      <c r="O19" s="45">
        <f>(K19-N19)^2</f>
        <v>5.2899999999997643E-2</v>
      </c>
      <c r="S19" s="1" t="s">
        <v>213</v>
      </c>
      <c r="T19" s="46" t="s">
        <v>82</v>
      </c>
      <c r="U19" s="46" t="s">
        <v>70</v>
      </c>
      <c r="V19" s="8" t="s">
        <v>12</v>
      </c>
      <c r="W19" s="51">
        <v>611</v>
      </c>
      <c r="X19" s="20" t="s">
        <v>105</v>
      </c>
      <c r="Y19" s="15">
        <v>-24.513999999999999</v>
      </c>
      <c r="Z19" s="15">
        <v>0.28599999999999998</v>
      </c>
      <c r="AA19" s="15">
        <v>-24.052</v>
      </c>
      <c r="AB19" s="15">
        <v>0.17199999999999999</v>
      </c>
      <c r="AC19" s="15">
        <f t="shared" ref="AC19:AC31" si="8">(Y19-AA19)</f>
        <v>-0.46199999999999974</v>
      </c>
      <c r="AD19" s="15">
        <f t="shared" ref="AD19:AD31" si="9">SQRT((Z19)^2 + (AB19)^2)</f>
        <v>0.33373642294481431</v>
      </c>
      <c r="AE19" s="45">
        <f t="shared" ref="AE19:AE31" si="10">AD19^2</f>
        <v>0.11137999999999998</v>
      </c>
      <c r="AF19" s="8">
        <v>0.85</v>
      </c>
      <c r="AG19" s="45">
        <f t="shared" ref="AG19:AG31" si="11">(AC19-AF19)^2</f>
        <v>1.7213439999999995</v>
      </c>
    </row>
    <row r="20" spans="1:33">
      <c r="A20" s="1" t="s">
        <v>213</v>
      </c>
      <c r="B20" s="46" t="s">
        <v>101</v>
      </c>
      <c r="C20" s="46" t="s">
        <v>70</v>
      </c>
      <c r="D20" s="42" t="s">
        <v>6</v>
      </c>
      <c r="E20" s="51">
        <v>548</v>
      </c>
      <c r="F20" s="44" t="s">
        <v>231</v>
      </c>
      <c r="G20" s="15">
        <v>-8.8770000000000007</v>
      </c>
      <c r="H20" s="15">
        <v>4.8000000000000001E-2</v>
      </c>
      <c r="I20" s="15">
        <v>-8.7390000000000008</v>
      </c>
      <c r="J20" s="15">
        <v>8.5000000000000006E-2</v>
      </c>
      <c r="K20" s="15">
        <f t="shared" ref="K20:K24" si="12">(G20-I20)</f>
        <v>-0.1379999999999999</v>
      </c>
      <c r="L20" s="15">
        <f t="shared" ref="L20:L24" si="13">SQRT((H20)^2 + (J20)^2)</f>
        <v>9.7616596949494205E-2</v>
      </c>
      <c r="M20" s="45">
        <f t="shared" ref="M20:M24" si="14">L20^2</f>
        <v>9.529000000000001E-3</v>
      </c>
      <c r="N20" s="8">
        <v>0.97</v>
      </c>
      <c r="O20" s="45">
        <f t="shared" ref="O20:O24" si="15">(K20-N20)^2</f>
        <v>1.2276639999999996</v>
      </c>
      <c r="S20" s="1" t="s">
        <v>213</v>
      </c>
      <c r="T20" s="46" t="s">
        <v>82</v>
      </c>
      <c r="U20" s="46" t="s">
        <v>70</v>
      </c>
      <c r="V20" s="8" t="s">
        <v>14</v>
      </c>
      <c r="W20" s="51">
        <v>523</v>
      </c>
      <c r="X20" s="20" t="s">
        <v>227</v>
      </c>
      <c r="Y20" s="15">
        <v>-10.824</v>
      </c>
      <c r="Z20" s="15">
        <v>0.187</v>
      </c>
      <c r="AA20" s="15">
        <v>-10.196</v>
      </c>
      <c r="AB20" s="15">
        <v>5.6000000000000001E-2</v>
      </c>
      <c r="AC20" s="15">
        <f t="shared" si="8"/>
        <v>-0.62800000000000011</v>
      </c>
      <c r="AD20" s="15">
        <f t="shared" si="9"/>
        <v>0.19520502042724208</v>
      </c>
      <c r="AE20" s="45">
        <f t="shared" si="10"/>
        <v>3.8105E-2</v>
      </c>
      <c r="AF20" s="8">
        <v>-0.78</v>
      </c>
      <c r="AG20" s="45">
        <f t="shared" si="11"/>
        <v>2.3103999999999975E-2</v>
      </c>
    </row>
    <row r="21" spans="1:33">
      <c r="A21" s="1" t="s">
        <v>213</v>
      </c>
      <c r="B21" s="46" t="s">
        <v>101</v>
      </c>
      <c r="C21" s="46" t="s">
        <v>70</v>
      </c>
      <c r="D21" s="42" t="s">
        <v>8</v>
      </c>
      <c r="E21" s="51">
        <v>550</v>
      </c>
      <c r="F21" s="44" t="s">
        <v>76</v>
      </c>
      <c r="G21" s="15">
        <v>-8.2260000000000009</v>
      </c>
      <c r="H21" s="15">
        <v>4.5999999999999999E-2</v>
      </c>
      <c r="I21" s="15">
        <v>-8.1</v>
      </c>
      <c r="J21" s="15">
        <v>0.09</v>
      </c>
      <c r="K21" s="15">
        <f t="shared" si="12"/>
        <v>-0.12600000000000122</v>
      </c>
      <c r="L21" s="15">
        <f t="shared" si="13"/>
        <v>0.10107423014794621</v>
      </c>
      <c r="M21" s="45">
        <f t="shared" si="14"/>
        <v>1.0215999999999999E-2</v>
      </c>
      <c r="N21" s="8">
        <v>-0.15</v>
      </c>
      <c r="O21" s="45">
        <f t="shared" si="15"/>
        <v>5.7599999999994103E-4</v>
      </c>
      <c r="S21" s="1" t="s">
        <v>214</v>
      </c>
      <c r="T21" s="1" t="s">
        <v>101</v>
      </c>
      <c r="U21" s="46" t="s">
        <v>46</v>
      </c>
      <c r="V21" s="16" t="s">
        <v>11</v>
      </c>
      <c r="W21" s="3" t="s">
        <v>84</v>
      </c>
      <c r="X21" s="1" t="s">
        <v>90</v>
      </c>
      <c r="Y21" s="15">
        <v>-41.031999999999996</v>
      </c>
      <c r="Z21" s="15">
        <v>0.35899999999999999</v>
      </c>
      <c r="AA21" s="15">
        <v>-42.084000000000003</v>
      </c>
      <c r="AB21" s="15">
        <v>0.17699999999999999</v>
      </c>
      <c r="AC21" s="20">
        <f t="shared" si="8"/>
        <v>1.0520000000000067</v>
      </c>
      <c r="AD21" s="20">
        <f t="shared" si="9"/>
        <v>0.40026241392366585</v>
      </c>
      <c r="AE21" s="20">
        <f t="shared" si="10"/>
        <v>0.16021000000000002</v>
      </c>
      <c r="AF21" s="9">
        <v>1.33</v>
      </c>
      <c r="AG21" s="20">
        <f t="shared" si="11"/>
        <v>7.7283999999996314E-2</v>
      </c>
    </row>
    <row r="22" spans="1:33">
      <c r="A22" s="1" t="s">
        <v>213</v>
      </c>
      <c r="B22" s="46" t="s">
        <v>101</v>
      </c>
      <c r="C22" s="46" t="s">
        <v>70</v>
      </c>
      <c r="D22" s="42" t="s">
        <v>10</v>
      </c>
      <c r="E22" s="51">
        <v>609</v>
      </c>
      <c r="F22" s="44" t="s">
        <v>241</v>
      </c>
      <c r="G22" s="15">
        <v>-5.4560000000000004</v>
      </c>
      <c r="H22" s="15">
        <v>0.442</v>
      </c>
      <c r="I22" s="15">
        <v>-8.2799999999999994</v>
      </c>
      <c r="J22" s="15">
        <v>9.1999999999999998E-2</v>
      </c>
      <c r="K22" s="15">
        <f t="shared" si="12"/>
        <v>2.823999999999999</v>
      </c>
      <c r="L22" s="15">
        <f t="shared" si="13"/>
        <v>0.45147314427327789</v>
      </c>
      <c r="M22" s="45">
        <f t="shared" si="14"/>
        <v>0.20382800000000001</v>
      </c>
      <c r="N22" s="8">
        <v>2.0099999999999998</v>
      </c>
      <c r="O22" s="45">
        <f t="shared" si="15"/>
        <v>0.66259599999999863</v>
      </c>
      <c r="S22" s="1" t="s">
        <v>214</v>
      </c>
      <c r="T22" s="1" t="s">
        <v>235</v>
      </c>
      <c r="U22" s="46" t="s">
        <v>46</v>
      </c>
      <c r="V22" s="16" t="s">
        <v>121</v>
      </c>
      <c r="W22" s="3" t="s">
        <v>122</v>
      </c>
      <c r="X22" s="1" t="s">
        <v>140</v>
      </c>
      <c r="Y22" s="15">
        <v>5.931</v>
      </c>
      <c r="Z22" s="15">
        <v>0.36099999999999999</v>
      </c>
      <c r="AA22" s="15">
        <v>6.2450000000000001</v>
      </c>
      <c r="AB22" s="15">
        <v>0.11700000000000001</v>
      </c>
      <c r="AC22" s="20">
        <f t="shared" si="8"/>
        <v>-0.31400000000000006</v>
      </c>
      <c r="AD22" s="20">
        <f t="shared" si="9"/>
        <v>0.37948649514837812</v>
      </c>
      <c r="AE22" s="20">
        <f t="shared" si="10"/>
        <v>0.14401</v>
      </c>
      <c r="AF22" s="9">
        <v>0.05</v>
      </c>
      <c r="AG22" s="20">
        <f t="shared" si="11"/>
        <v>0.13249600000000003</v>
      </c>
    </row>
    <row r="23" spans="1:33">
      <c r="A23" s="1" t="s">
        <v>213</v>
      </c>
      <c r="B23" s="46" t="s">
        <v>82</v>
      </c>
      <c r="C23" s="46" t="s">
        <v>70</v>
      </c>
      <c r="D23" s="8" t="s">
        <v>12</v>
      </c>
      <c r="E23" s="51">
        <v>611</v>
      </c>
      <c r="F23" s="20" t="s">
        <v>105</v>
      </c>
      <c r="G23" s="15">
        <v>-24.513999999999999</v>
      </c>
      <c r="H23" s="15">
        <v>0.28599999999999998</v>
      </c>
      <c r="I23" s="15">
        <v>-24.052</v>
      </c>
      <c r="J23" s="15">
        <v>0.17199999999999999</v>
      </c>
      <c r="K23" s="15">
        <f t="shared" si="12"/>
        <v>-0.46199999999999974</v>
      </c>
      <c r="L23" s="15">
        <f t="shared" si="13"/>
        <v>0.33373642294481431</v>
      </c>
      <c r="M23" s="45">
        <f t="shared" si="14"/>
        <v>0.11137999999999998</v>
      </c>
      <c r="N23" s="8">
        <v>0.85</v>
      </c>
      <c r="O23" s="45">
        <f t="shared" si="15"/>
        <v>1.7213439999999995</v>
      </c>
      <c r="S23" s="1" t="s">
        <v>214</v>
      </c>
      <c r="T23" s="1" t="s">
        <v>101</v>
      </c>
      <c r="U23" s="46" t="s">
        <v>46</v>
      </c>
      <c r="V23" s="16" t="s">
        <v>124</v>
      </c>
      <c r="W23" s="3" t="s">
        <v>125</v>
      </c>
      <c r="X23" s="1" t="s">
        <v>58</v>
      </c>
      <c r="Y23" s="1">
        <v>-41.08</v>
      </c>
      <c r="Z23" s="1">
        <v>0.3</v>
      </c>
      <c r="AA23" s="15">
        <v>-42.408000000000001</v>
      </c>
      <c r="AB23" s="15">
        <v>7.2999999999999995E-2</v>
      </c>
      <c r="AC23" s="20">
        <f t="shared" si="8"/>
        <v>1.328000000000003</v>
      </c>
      <c r="AD23" s="20">
        <f t="shared" si="9"/>
        <v>0.30875394734318784</v>
      </c>
      <c r="AE23" s="20">
        <f t="shared" si="10"/>
        <v>9.5329000000000011E-2</v>
      </c>
      <c r="AF23" s="9">
        <v>0.76</v>
      </c>
      <c r="AG23" s="20">
        <f t="shared" si="11"/>
        <v>0.32262400000000335</v>
      </c>
    </row>
    <row r="24" spans="1:33">
      <c r="A24" s="1" t="s">
        <v>213</v>
      </c>
      <c r="B24" s="46" t="s">
        <v>82</v>
      </c>
      <c r="C24" s="46" t="s">
        <v>70</v>
      </c>
      <c r="D24" s="8" t="s">
        <v>14</v>
      </c>
      <c r="E24" s="51">
        <v>523</v>
      </c>
      <c r="F24" s="20" t="s">
        <v>227</v>
      </c>
      <c r="G24" s="15">
        <v>-10.824</v>
      </c>
      <c r="H24" s="15">
        <v>0.187</v>
      </c>
      <c r="I24" s="15">
        <v>-10.196</v>
      </c>
      <c r="J24" s="15">
        <v>5.6000000000000001E-2</v>
      </c>
      <c r="K24" s="15">
        <f t="shared" si="12"/>
        <v>-0.62800000000000011</v>
      </c>
      <c r="L24" s="15">
        <f t="shared" si="13"/>
        <v>0.19520502042724208</v>
      </c>
      <c r="M24" s="45">
        <f t="shared" si="14"/>
        <v>3.8105E-2</v>
      </c>
      <c r="N24" s="8">
        <v>-0.78</v>
      </c>
      <c r="O24" s="45">
        <f t="shared" si="15"/>
        <v>2.3103999999999975E-2</v>
      </c>
      <c r="S24" s="1" t="s">
        <v>214</v>
      </c>
      <c r="T24" s="1" t="s">
        <v>235</v>
      </c>
      <c r="U24" s="46" t="s">
        <v>46</v>
      </c>
      <c r="V24" s="16" t="s">
        <v>126</v>
      </c>
      <c r="W24" s="3" t="s">
        <v>50</v>
      </c>
      <c r="X24" s="1" t="s">
        <v>59</v>
      </c>
      <c r="Y24" s="15">
        <v>15.148</v>
      </c>
      <c r="Z24" s="15">
        <v>0.10299999999999999</v>
      </c>
      <c r="AA24" s="1">
        <v>13.061</v>
      </c>
      <c r="AB24" s="1">
        <v>0.09</v>
      </c>
      <c r="AC24" s="20">
        <f t="shared" si="8"/>
        <v>2.0869999999999997</v>
      </c>
      <c r="AD24" s="20">
        <f t="shared" si="9"/>
        <v>0.1367808466123821</v>
      </c>
      <c r="AE24" s="20">
        <f t="shared" si="10"/>
        <v>1.8709E-2</v>
      </c>
      <c r="AF24" s="9">
        <v>0.35</v>
      </c>
      <c r="AG24" s="20">
        <f t="shared" si="11"/>
        <v>3.0171689999999987</v>
      </c>
    </row>
    <row r="25" spans="1:33">
      <c r="A25" s="1" t="s">
        <v>214</v>
      </c>
      <c r="B25" s="1" t="s">
        <v>101</v>
      </c>
      <c r="C25" s="46" t="s">
        <v>46</v>
      </c>
      <c r="D25" s="25" t="s">
        <v>9</v>
      </c>
      <c r="E25" s="3" t="s">
        <v>83</v>
      </c>
      <c r="F25" s="1" t="s">
        <v>89</v>
      </c>
      <c r="G25" s="1">
        <v>-33.256999999999998</v>
      </c>
      <c r="H25" s="1">
        <v>0.222</v>
      </c>
      <c r="I25" s="15">
        <v>-36.273000000000003</v>
      </c>
      <c r="J25" s="15">
        <v>0.26500000000000001</v>
      </c>
      <c r="K25" s="20">
        <f>(G25-I25)</f>
        <v>3.0160000000000053</v>
      </c>
      <c r="L25" s="20">
        <f>SQRT((H25)^2 + (J25)^2)</f>
        <v>0.34570073763299958</v>
      </c>
      <c r="M25" s="20">
        <f>L25^2</f>
        <v>0.119509</v>
      </c>
      <c r="N25" s="9">
        <v>1.48</v>
      </c>
      <c r="O25" s="20">
        <f>(K25-N25)^2</f>
        <v>2.3592960000000165</v>
      </c>
      <c r="S25" s="1" t="s">
        <v>214</v>
      </c>
      <c r="T25" s="1" t="s">
        <v>235</v>
      </c>
      <c r="U25" s="46" t="s">
        <v>46</v>
      </c>
      <c r="V25" s="16" t="s">
        <v>127</v>
      </c>
      <c r="W25" s="3" t="s">
        <v>51</v>
      </c>
      <c r="X25" s="1" t="s">
        <v>60</v>
      </c>
      <c r="Y25" s="15">
        <v>-4.5380000000000003</v>
      </c>
      <c r="Z25" s="15">
        <v>0.28499999999999998</v>
      </c>
      <c r="AA25" s="15">
        <v>-6.1989999999999998</v>
      </c>
      <c r="AB25" s="15">
        <v>6.5000000000000002E-2</v>
      </c>
      <c r="AC25" s="20">
        <f t="shared" si="8"/>
        <v>1.6609999999999996</v>
      </c>
      <c r="AD25" s="20">
        <f t="shared" si="9"/>
        <v>0.29231831964486932</v>
      </c>
      <c r="AE25" s="20">
        <f t="shared" si="10"/>
        <v>8.5449999999999998E-2</v>
      </c>
      <c r="AF25" s="9">
        <v>1.25</v>
      </c>
      <c r="AG25" s="20">
        <f t="shared" si="11"/>
        <v>0.16892099999999965</v>
      </c>
    </row>
    <row r="26" spans="1:33">
      <c r="A26" s="1" t="s">
        <v>214</v>
      </c>
      <c r="B26" s="1" t="s">
        <v>101</v>
      </c>
      <c r="C26" s="46" t="s">
        <v>46</v>
      </c>
      <c r="D26" s="16" t="s">
        <v>11</v>
      </c>
      <c r="E26" s="3" t="s">
        <v>84</v>
      </c>
      <c r="F26" s="1" t="s">
        <v>90</v>
      </c>
      <c r="G26" s="15">
        <v>-41.031999999999996</v>
      </c>
      <c r="H26" s="15">
        <v>0.35899999999999999</v>
      </c>
      <c r="I26" s="15">
        <v>-42.084000000000003</v>
      </c>
      <c r="J26" s="15">
        <v>0.17699999999999999</v>
      </c>
      <c r="K26" s="20">
        <f t="shared" ref="K26:K37" si="16">(G26-I26)</f>
        <v>1.0520000000000067</v>
      </c>
      <c r="L26" s="20">
        <f t="shared" ref="L26:L37" si="17">SQRT((H26)^2 + (J26)^2)</f>
        <v>0.40026241392366585</v>
      </c>
      <c r="M26" s="20">
        <f t="shared" ref="M26:M37" si="18">L26^2</f>
        <v>0.16021000000000002</v>
      </c>
      <c r="N26" s="9">
        <v>1.33</v>
      </c>
      <c r="O26" s="20">
        <f t="shared" ref="O26:O37" si="19">(K26-N26)^2</f>
        <v>7.7283999999996314E-2</v>
      </c>
      <c r="S26" s="1" t="s">
        <v>214</v>
      </c>
      <c r="T26" s="1" t="s">
        <v>235</v>
      </c>
      <c r="U26" s="46" t="s">
        <v>46</v>
      </c>
      <c r="V26" s="16" t="s">
        <v>128</v>
      </c>
      <c r="W26" s="3" t="s">
        <v>129</v>
      </c>
      <c r="X26" s="1" t="s">
        <v>61</v>
      </c>
      <c r="Y26" s="15">
        <v>-5.7709999999999999</v>
      </c>
      <c r="Z26" s="15">
        <v>7.6999999999999999E-2</v>
      </c>
      <c r="AA26" s="15">
        <v>-6.8360000000000003</v>
      </c>
      <c r="AB26" s="15">
        <v>1.9E-2</v>
      </c>
      <c r="AC26" s="20">
        <f t="shared" si="8"/>
        <v>1.0650000000000004</v>
      </c>
      <c r="AD26" s="20">
        <f t="shared" si="9"/>
        <v>7.9309520235593414E-2</v>
      </c>
      <c r="AE26" s="20">
        <f t="shared" si="10"/>
        <v>6.2900000000000013E-3</v>
      </c>
      <c r="AF26" s="9">
        <v>1.1499999999999999</v>
      </c>
      <c r="AG26" s="20">
        <f t="shared" si="11"/>
        <v>7.2249999999999181E-3</v>
      </c>
    </row>
    <row r="27" spans="1:33">
      <c r="A27" s="1" t="s">
        <v>214</v>
      </c>
      <c r="B27" s="1" t="s">
        <v>235</v>
      </c>
      <c r="C27" s="46" t="s">
        <v>46</v>
      </c>
      <c r="D27" s="16" t="s">
        <v>121</v>
      </c>
      <c r="E27" s="3" t="s">
        <v>122</v>
      </c>
      <c r="F27" s="1" t="s">
        <v>140</v>
      </c>
      <c r="G27" s="15">
        <v>5.931</v>
      </c>
      <c r="H27" s="15">
        <v>0.36099999999999999</v>
      </c>
      <c r="I27" s="15">
        <v>6.2450000000000001</v>
      </c>
      <c r="J27" s="15">
        <v>0.11700000000000001</v>
      </c>
      <c r="K27" s="20">
        <f t="shared" si="16"/>
        <v>-0.31400000000000006</v>
      </c>
      <c r="L27" s="20">
        <f t="shared" si="17"/>
        <v>0.37948649514837812</v>
      </c>
      <c r="M27" s="20">
        <f t="shared" si="18"/>
        <v>0.14401</v>
      </c>
      <c r="N27" s="9">
        <v>0.05</v>
      </c>
      <c r="O27" s="20">
        <f t="shared" si="19"/>
        <v>0.13249600000000003</v>
      </c>
      <c r="S27" s="1" t="s">
        <v>214</v>
      </c>
      <c r="T27" s="1" t="s">
        <v>256</v>
      </c>
      <c r="U27" s="46" t="s">
        <v>46</v>
      </c>
      <c r="V27" s="16" t="s">
        <v>130</v>
      </c>
      <c r="W27" s="3" t="s">
        <v>85</v>
      </c>
      <c r="X27" s="1" t="s">
        <v>91</v>
      </c>
      <c r="Y27" s="15">
        <v>-6.25</v>
      </c>
      <c r="Z27" s="15">
        <v>0.32100000000000001</v>
      </c>
      <c r="AA27" s="15">
        <v>-6.1029999999999998</v>
      </c>
      <c r="AB27" s="15">
        <v>0.13400000000000001</v>
      </c>
      <c r="AC27" s="20">
        <f t="shared" si="8"/>
        <v>-0.14700000000000024</v>
      </c>
      <c r="AD27" s="20">
        <f t="shared" si="9"/>
        <v>0.34784623039498358</v>
      </c>
      <c r="AE27" s="20">
        <f t="shared" si="10"/>
        <v>0.12099699999999999</v>
      </c>
      <c r="AF27" s="9">
        <v>0.86</v>
      </c>
      <c r="AG27" s="20">
        <f t="shared" si="11"/>
        <v>1.0140490000000002</v>
      </c>
    </row>
    <row r="28" spans="1:33">
      <c r="A28" s="1" t="s">
        <v>214</v>
      </c>
      <c r="B28" s="1" t="s">
        <v>101</v>
      </c>
      <c r="C28" s="46" t="s">
        <v>46</v>
      </c>
      <c r="D28" s="16" t="s">
        <v>124</v>
      </c>
      <c r="E28" s="3" t="s">
        <v>125</v>
      </c>
      <c r="F28" s="1" t="s">
        <v>58</v>
      </c>
      <c r="G28" s="1">
        <v>-41.08</v>
      </c>
      <c r="H28" s="1">
        <v>0.3</v>
      </c>
      <c r="I28" s="15">
        <v>-42.408000000000001</v>
      </c>
      <c r="J28" s="15">
        <v>7.2999999999999995E-2</v>
      </c>
      <c r="K28" s="20">
        <f t="shared" si="16"/>
        <v>1.328000000000003</v>
      </c>
      <c r="L28" s="20">
        <f t="shared" si="17"/>
        <v>0.30875394734318784</v>
      </c>
      <c r="M28" s="20">
        <f t="shared" si="18"/>
        <v>9.5329000000000011E-2</v>
      </c>
      <c r="N28" s="9">
        <v>0.76</v>
      </c>
      <c r="O28" s="20">
        <f t="shared" si="19"/>
        <v>0.32262400000000335</v>
      </c>
      <c r="S28" s="1" t="s">
        <v>214</v>
      </c>
      <c r="T28" s="1" t="s">
        <v>235</v>
      </c>
      <c r="U28" s="46" t="s">
        <v>46</v>
      </c>
      <c r="V28" s="16" t="s">
        <v>131</v>
      </c>
      <c r="W28" s="3" t="s">
        <v>132</v>
      </c>
      <c r="X28" s="1" t="s">
        <v>141</v>
      </c>
      <c r="Y28" s="1">
        <v>46.613999999999997</v>
      </c>
      <c r="Z28" s="1">
        <v>0.17299999999999999</v>
      </c>
      <c r="AA28" s="15">
        <v>46.436999999999998</v>
      </c>
      <c r="AB28" s="15">
        <v>0.04</v>
      </c>
      <c r="AC28" s="20">
        <f t="shared" si="8"/>
        <v>0.1769999999999996</v>
      </c>
      <c r="AD28" s="20">
        <f t="shared" si="9"/>
        <v>0.1775640729426986</v>
      </c>
      <c r="AE28" s="20">
        <f t="shared" si="10"/>
        <v>3.1528999999999988E-2</v>
      </c>
      <c r="AF28" s="9">
        <v>1.1100000000000001</v>
      </c>
      <c r="AG28" s="20">
        <f t="shared" si="11"/>
        <v>0.87048900000000096</v>
      </c>
    </row>
    <row r="29" spans="1:33">
      <c r="A29" s="1" t="s">
        <v>214</v>
      </c>
      <c r="B29" s="1" t="s">
        <v>235</v>
      </c>
      <c r="C29" s="46" t="s">
        <v>46</v>
      </c>
      <c r="D29" s="16" t="s">
        <v>126</v>
      </c>
      <c r="E29" s="3" t="s">
        <v>50</v>
      </c>
      <c r="F29" s="1" t="s">
        <v>59</v>
      </c>
      <c r="G29" s="15">
        <v>15.148</v>
      </c>
      <c r="H29" s="15">
        <v>0.10299999999999999</v>
      </c>
      <c r="I29" s="1">
        <v>13.061</v>
      </c>
      <c r="J29" s="1">
        <v>0.09</v>
      </c>
      <c r="K29" s="20">
        <f t="shared" si="16"/>
        <v>2.0869999999999997</v>
      </c>
      <c r="L29" s="20">
        <f t="shared" si="17"/>
        <v>0.1367808466123821</v>
      </c>
      <c r="M29" s="20">
        <f t="shared" si="18"/>
        <v>1.8709E-2</v>
      </c>
      <c r="N29" s="9">
        <v>0.35</v>
      </c>
      <c r="O29" s="20">
        <f t="shared" si="19"/>
        <v>3.0171689999999987</v>
      </c>
      <c r="S29" s="1" t="s">
        <v>214</v>
      </c>
      <c r="T29" s="1" t="s">
        <v>235</v>
      </c>
      <c r="U29" s="46" t="s">
        <v>46</v>
      </c>
      <c r="V29" s="16" t="s">
        <v>133</v>
      </c>
      <c r="W29" s="3" t="s">
        <v>53</v>
      </c>
      <c r="X29" s="1" t="s">
        <v>62</v>
      </c>
      <c r="Y29" s="15">
        <v>46.369</v>
      </c>
      <c r="Z29" s="15">
        <v>0.26700000000000002</v>
      </c>
      <c r="AA29" s="15">
        <v>46.024000000000001</v>
      </c>
      <c r="AB29" s="15">
        <v>0.108</v>
      </c>
      <c r="AC29" s="20">
        <f t="shared" si="8"/>
        <v>0.34499999999999886</v>
      </c>
      <c r="AD29" s="20">
        <f t="shared" si="9"/>
        <v>0.28801562457616775</v>
      </c>
      <c r="AE29" s="20">
        <f t="shared" si="10"/>
        <v>8.2952999999999999E-2</v>
      </c>
      <c r="AF29" s="9">
        <v>0.55000000000000004</v>
      </c>
      <c r="AG29" s="20">
        <f t="shared" si="11"/>
        <v>4.2025000000000486E-2</v>
      </c>
    </row>
    <row r="30" spans="1:33">
      <c r="A30" s="1" t="s">
        <v>214</v>
      </c>
      <c r="B30" s="1" t="s">
        <v>235</v>
      </c>
      <c r="C30" s="46" t="s">
        <v>46</v>
      </c>
      <c r="D30" s="16" t="s">
        <v>127</v>
      </c>
      <c r="E30" s="3" t="s">
        <v>51</v>
      </c>
      <c r="F30" s="1" t="s">
        <v>60</v>
      </c>
      <c r="G30" s="15">
        <v>-4.5380000000000003</v>
      </c>
      <c r="H30" s="15">
        <v>0.28499999999999998</v>
      </c>
      <c r="I30" s="15">
        <v>-6.1989999999999998</v>
      </c>
      <c r="J30" s="15">
        <v>6.5000000000000002E-2</v>
      </c>
      <c r="K30" s="20">
        <f t="shared" si="16"/>
        <v>1.6609999999999996</v>
      </c>
      <c r="L30" s="20">
        <f t="shared" si="17"/>
        <v>0.29231831964486932</v>
      </c>
      <c r="M30" s="20">
        <f t="shared" si="18"/>
        <v>8.5449999999999998E-2</v>
      </c>
      <c r="N30" s="9">
        <v>1.25</v>
      </c>
      <c r="O30" s="20">
        <f t="shared" si="19"/>
        <v>0.16892099999999965</v>
      </c>
      <c r="S30" s="1" t="s">
        <v>214</v>
      </c>
      <c r="T30" s="1" t="s">
        <v>235</v>
      </c>
      <c r="U30" s="46" t="s">
        <v>46</v>
      </c>
      <c r="V30" s="16" t="s">
        <v>134</v>
      </c>
      <c r="W30" s="3" t="s">
        <v>135</v>
      </c>
      <c r="X30" s="1" t="s">
        <v>142</v>
      </c>
      <c r="Y30" s="15">
        <v>46.584000000000003</v>
      </c>
      <c r="Z30" s="15">
        <v>4.8000000000000001E-2</v>
      </c>
      <c r="AA30" s="15">
        <v>46.661000000000001</v>
      </c>
      <c r="AB30" s="15">
        <v>5.7000000000000002E-2</v>
      </c>
      <c r="AC30" s="20">
        <f t="shared" si="8"/>
        <v>-7.6999999999998181E-2</v>
      </c>
      <c r="AD30" s="20">
        <f t="shared" si="9"/>
        <v>7.4518454090245323E-2</v>
      </c>
      <c r="AE30" s="20">
        <f t="shared" si="10"/>
        <v>5.5529999999999998E-3</v>
      </c>
      <c r="AF30" s="9">
        <v>0.09</v>
      </c>
      <c r="AG30" s="20">
        <f t="shared" si="11"/>
        <v>2.788899999999939E-2</v>
      </c>
    </row>
    <row r="31" spans="1:33">
      <c r="A31" s="1" t="s">
        <v>214</v>
      </c>
      <c r="B31" s="1" t="s">
        <v>235</v>
      </c>
      <c r="C31" s="46" t="s">
        <v>46</v>
      </c>
      <c r="D31" s="16" t="s">
        <v>128</v>
      </c>
      <c r="E31" s="3" t="s">
        <v>129</v>
      </c>
      <c r="F31" s="1" t="s">
        <v>61</v>
      </c>
      <c r="G31" s="15">
        <v>-5.7709999999999999</v>
      </c>
      <c r="H31" s="15">
        <v>7.6999999999999999E-2</v>
      </c>
      <c r="I31" s="15">
        <v>-6.8360000000000003</v>
      </c>
      <c r="J31" s="15">
        <v>1.9E-2</v>
      </c>
      <c r="K31" s="20">
        <f t="shared" si="16"/>
        <v>1.0650000000000004</v>
      </c>
      <c r="L31" s="20">
        <f t="shared" si="17"/>
        <v>7.9309520235593414E-2</v>
      </c>
      <c r="M31" s="20">
        <f t="shared" si="18"/>
        <v>6.2900000000000013E-3</v>
      </c>
      <c r="N31" s="9">
        <v>1.1499999999999999</v>
      </c>
      <c r="O31" s="20">
        <f t="shared" si="19"/>
        <v>7.2249999999999181E-3</v>
      </c>
      <c r="S31" s="1" t="s">
        <v>214</v>
      </c>
      <c r="T31" s="1" t="s">
        <v>235</v>
      </c>
      <c r="U31" s="46" t="s">
        <v>46</v>
      </c>
      <c r="V31" s="16" t="s">
        <v>136</v>
      </c>
      <c r="W31" s="3" t="s">
        <v>137</v>
      </c>
      <c r="X31" s="1" t="s">
        <v>143</v>
      </c>
      <c r="Y31" s="15">
        <v>-8.8450000000000006</v>
      </c>
      <c r="Z31" s="15">
        <v>0.106</v>
      </c>
      <c r="AA31" s="15">
        <v>-7.7030000000000003</v>
      </c>
      <c r="AB31" s="15">
        <v>0.193</v>
      </c>
      <c r="AC31" s="20">
        <f t="shared" si="8"/>
        <v>-1.1420000000000003</v>
      </c>
      <c r="AD31" s="20">
        <f t="shared" si="9"/>
        <v>0.22019309707617993</v>
      </c>
      <c r="AE31" s="20">
        <f t="shared" si="10"/>
        <v>4.8485E-2</v>
      </c>
      <c r="AF31" s="9">
        <v>0.83</v>
      </c>
      <c r="AG31" s="20">
        <f t="shared" si="11"/>
        <v>3.8887840000000016</v>
      </c>
    </row>
    <row r="32" spans="1:33">
      <c r="A32" s="1" t="s">
        <v>214</v>
      </c>
      <c r="B32" s="1" t="s">
        <v>256</v>
      </c>
      <c r="C32" s="46" t="s">
        <v>46</v>
      </c>
      <c r="D32" s="16" t="s">
        <v>130</v>
      </c>
      <c r="E32" s="3" t="s">
        <v>85</v>
      </c>
      <c r="F32" s="1" t="s">
        <v>91</v>
      </c>
      <c r="G32" s="15">
        <v>-6.25</v>
      </c>
      <c r="H32" s="15">
        <v>0.32100000000000001</v>
      </c>
      <c r="I32" s="15">
        <v>-6.1029999999999998</v>
      </c>
      <c r="J32" s="15">
        <v>0.13400000000000001</v>
      </c>
      <c r="K32" s="20">
        <f t="shared" si="16"/>
        <v>-0.14700000000000024</v>
      </c>
      <c r="L32" s="20">
        <f t="shared" si="17"/>
        <v>0.34784623039498358</v>
      </c>
      <c r="M32" s="20">
        <f t="shared" si="18"/>
        <v>0.12099699999999999</v>
      </c>
      <c r="N32" s="9">
        <v>0.86</v>
      </c>
      <c r="O32" s="20">
        <f t="shared" si="19"/>
        <v>1.0140490000000002</v>
      </c>
      <c r="S32" s="1" t="s">
        <v>214</v>
      </c>
      <c r="T32" s="1" t="s">
        <v>82</v>
      </c>
      <c r="U32" s="46" t="s">
        <v>70</v>
      </c>
      <c r="V32" s="16" t="s">
        <v>4</v>
      </c>
      <c r="W32" s="16" t="s">
        <v>245</v>
      </c>
      <c r="X32" s="1" t="s">
        <v>77</v>
      </c>
      <c r="Y32" s="15">
        <v>46.137999999999998</v>
      </c>
      <c r="Z32" s="15">
        <v>5.0999999999999997E-2</v>
      </c>
      <c r="AA32" s="15">
        <v>46.04</v>
      </c>
      <c r="AB32" s="15">
        <v>2.7E-2</v>
      </c>
      <c r="AC32" s="15">
        <f>(Y32-AA32)</f>
        <v>9.7999999999998977E-2</v>
      </c>
      <c r="AD32" s="15">
        <f>SQRT((Z32)^2 + (AB32)^2)</f>
        <v>5.7706152185014029E-2</v>
      </c>
      <c r="AE32" s="15">
        <f>AD32^2</f>
        <v>3.3299999999999992E-3</v>
      </c>
      <c r="AF32" s="16">
        <v>-0.22</v>
      </c>
      <c r="AG32" s="20">
        <f>(AC32-AF32)^2</f>
        <v>0.10112399999999933</v>
      </c>
    </row>
    <row r="33" spans="1:33">
      <c r="A33" s="1" t="s">
        <v>214</v>
      </c>
      <c r="B33" s="1" t="s">
        <v>235</v>
      </c>
      <c r="C33" s="46" t="s">
        <v>46</v>
      </c>
      <c r="D33" s="16" t="s">
        <v>131</v>
      </c>
      <c r="E33" s="3" t="s">
        <v>132</v>
      </c>
      <c r="F33" s="1" t="s">
        <v>141</v>
      </c>
      <c r="G33" s="1">
        <v>46.613999999999997</v>
      </c>
      <c r="H33" s="1">
        <v>0.17299999999999999</v>
      </c>
      <c r="I33" s="15">
        <v>46.436999999999998</v>
      </c>
      <c r="J33" s="15">
        <v>0.04</v>
      </c>
      <c r="K33" s="20">
        <f t="shared" si="16"/>
        <v>0.1769999999999996</v>
      </c>
      <c r="L33" s="20">
        <f t="shared" si="17"/>
        <v>0.1775640729426986</v>
      </c>
      <c r="M33" s="20">
        <f t="shared" si="18"/>
        <v>3.1528999999999988E-2</v>
      </c>
      <c r="N33" s="9">
        <v>1.1100000000000001</v>
      </c>
      <c r="O33" s="20">
        <f t="shared" si="19"/>
        <v>0.87048900000000096</v>
      </c>
      <c r="S33" s="1" t="s">
        <v>214</v>
      </c>
      <c r="T33" s="1" t="s">
        <v>82</v>
      </c>
      <c r="U33" s="46" t="s">
        <v>70</v>
      </c>
      <c r="V33" s="16" t="s">
        <v>119</v>
      </c>
      <c r="W33" s="16" t="s">
        <v>246</v>
      </c>
      <c r="X33" s="1" t="s">
        <v>247</v>
      </c>
      <c r="Y33" s="15">
        <v>68.563000000000002</v>
      </c>
      <c r="Z33" s="15">
        <v>0.11</v>
      </c>
      <c r="AA33" s="15">
        <v>68.096000000000004</v>
      </c>
      <c r="AB33" s="15">
        <v>6.3E-2</v>
      </c>
      <c r="AC33" s="15">
        <f t="shared" ref="AC33" si="20">(Y33-AA33)</f>
        <v>0.46699999999999875</v>
      </c>
      <c r="AD33" s="15">
        <f t="shared" ref="AD33" si="21">SQRT((Z33)^2 + (AB33)^2)</f>
        <v>0.126763559432512</v>
      </c>
      <c r="AE33" s="15">
        <f t="shared" ref="AE33" si="22">AD33^2</f>
        <v>1.6069E-2</v>
      </c>
      <c r="AF33" s="16">
        <v>0.2</v>
      </c>
      <c r="AG33" s="20">
        <f t="shared" ref="AG33" si="23">(AC33-AF33)^2</f>
        <v>7.1288999999999325E-2</v>
      </c>
    </row>
    <row r="34" spans="1:33">
      <c r="A34" s="1" t="s">
        <v>214</v>
      </c>
      <c r="B34" s="1" t="s">
        <v>235</v>
      </c>
      <c r="C34" s="46" t="s">
        <v>46</v>
      </c>
      <c r="D34" s="16" t="s">
        <v>133</v>
      </c>
      <c r="E34" s="3" t="s">
        <v>53</v>
      </c>
      <c r="F34" s="1" t="s">
        <v>62</v>
      </c>
      <c r="G34" s="15">
        <v>46.369</v>
      </c>
      <c r="H34" s="15">
        <v>0.26700000000000002</v>
      </c>
      <c r="I34" s="15">
        <v>46.024000000000001</v>
      </c>
      <c r="J34" s="15">
        <v>0.108</v>
      </c>
      <c r="K34" s="20">
        <f t="shared" si="16"/>
        <v>0.34499999999999886</v>
      </c>
      <c r="L34" s="20">
        <f t="shared" si="17"/>
        <v>0.28801562457616775</v>
      </c>
      <c r="M34" s="20">
        <f t="shared" si="18"/>
        <v>8.2952999999999999E-2</v>
      </c>
      <c r="N34" s="9">
        <v>0.55000000000000004</v>
      </c>
      <c r="O34" s="20">
        <f t="shared" si="19"/>
        <v>4.2025000000000486E-2</v>
      </c>
      <c r="S34" s="1" t="s">
        <v>215</v>
      </c>
      <c r="T34" s="1" t="s">
        <v>235</v>
      </c>
      <c r="U34" s="46" t="s">
        <v>46</v>
      </c>
      <c r="V34" s="3" t="s">
        <v>162</v>
      </c>
      <c r="W34" s="3">
        <v>332</v>
      </c>
      <c r="X34" s="1" t="s">
        <v>202</v>
      </c>
      <c r="Y34" s="15">
        <v>4.58</v>
      </c>
      <c r="Z34" s="15">
        <v>0.188</v>
      </c>
      <c r="AA34" s="15">
        <v>3.4510000000000001</v>
      </c>
      <c r="AB34" s="15">
        <v>0.22500000000000001</v>
      </c>
      <c r="AC34" s="15">
        <f>(Y34-AA34)</f>
        <v>1.129</v>
      </c>
      <c r="AD34" s="15">
        <f>SQRT((Z34)^2 + (AB34)^2)</f>
        <v>0.29320470664707959</v>
      </c>
      <c r="AE34" s="15">
        <f>AD34^2</f>
        <v>8.5969000000000004E-2</v>
      </c>
      <c r="AF34" s="3">
        <v>0.56999999999999995</v>
      </c>
      <c r="AG34" s="20">
        <f>(AC34-AF34)^2</f>
        <v>0.31248100000000006</v>
      </c>
    </row>
    <row r="35" spans="1:33">
      <c r="A35" s="1" t="s">
        <v>214</v>
      </c>
      <c r="B35" s="1" t="s">
        <v>235</v>
      </c>
      <c r="C35" s="46" t="s">
        <v>46</v>
      </c>
      <c r="D35" s="16" t="s">
        <v>134</v>
      </c>
      <c r="E35" s="3" t="s">
        <v>135</v>
      </c>
      <c r="F35" s="1" t="s">
        <v>142</v>
      </c>
      <c r="G35" s="15">
        <v>46.584000000000003</v>
      </c>
      <c r="H35" s="15">
        <v>4.8000000000000001E-2</v>
      </c>
      <c r="I35" s="15">
        <v>46.661000000000001</v>
      </c>
      <c r="J35" s="15">
        <v>5.7000000000000002E-2</v>
      </c>
      <c r="K35" s="20">
        <f t="shared" si="16"/>
        <v>-7.6999999999998181E-2</v>
      </c>
      <c r="L35" s="20">
        <f t="shared" si="17"/>
        <v>7.4518454090245323E-2</v>
      </c>
      <c r="M35" s="20">
        <f t="shared" si="18"/>
        <v>5.5529999999999998E-3</v>
      </c>
      <c r="N35" s="9">
        <v>0.09</v>
      </c>
      <c r="O35" s="20">
        <f t="shared" si="19"/>
        <v>2.788899999999939E-2</v>
      </c>
      <c r="S35" s="1" t="s">
        <v>215</v>
      </c>
      <c r="T35" s="1" t="s">
        <v>235</v>
      </c>
      <c r="U35" s="46" t="s">
        <v>46</v>
      </c>
      <c r="V35" s="3" t="s">
        <v>166</v>
      </c>
      <c r="W35" s="3">
        <v>353</v>
      </c>
      <c r="X35" s="1" t="s">
        <v>58</v>
      </c>
      <c r="Y35" s="58">
        <v>-4.1100000000000003</v>
      </c>
      <c r="Z35" s="58">
        <v>7.6999999999999999E-2</v>
      </c>
      <c r="AA35" s="58">
        <v>-4.2249999999999996</v>
      </c>
      <c r="AB35" s="58">
        <v>0.08</v>
      </c>
      <c r="AC35" s="15">
        <f t="shared" ref="AC35:AC42" si="24">(Y35-AA35)</f>
        <v>0.11499999999999932</v>
      </c>
      <c r="AD35" s="15">
        <f t="shared" ref="AD35:AD42" si="25">SQRT((Z35)^2 + (AB35)^2)</f>
        <v>0.11103603018840326</v>
      </c>
      <c r="AE35" s="15">
        <f t="shared" ref="AE35:AE42" si="26">AD35^2</f>
        <v>1.2329E-2</v>
      </c>
      <c r="AF35" s="3">
        <v>-0.82</v>
      </c>
      <c r="AG35" s="20">
        <f t="shared" ref="AG35:AG42" si="27">(AC35-AF35)^2</f>
        <v>0.8742249999999987</v>
      </c>
    </row>
    <row r="36" spans="1:33">
      <c r="A36" s="1" t="s">
        <v>214</v>
      </c>
      <c r="B36" s="1" t="s">
        <v>235</v>
      </c>
      <c r="C36" s="46" t="s">
        <v>46</v>
      </c>
      <c r="D36" s="16" t="s">
        <v>136</v>
      </c>
      <c r="E36" s="3" t="s">
        <v>137</v>
      </c>
      <c r="F36" s="1" t="s">
        <v>143</v>
      </c>
      <c r="G36" s="15">
        <v>-8.8450000000000006</v>
      </c>
      <c r="H36" s="15">
        <v>0.106</v>
      </c>
      <c r="I36" s="15">
        <v>-7.7030000000000003</v>
      </c>
      <c r="J36" s="15">
        <v>0.193</v>
      </c>
      <c r="K36" s="20">
        <f t="shared" si="16"/>
        <v>-1.1420000000000003</v>
      </c>
      <c r="L36" s="20">
        <f t="shared" si="17"/>
        <v>0.22019309707617993</v>
      </c>
      <c r="M36" s="20">
        <f t="shared" si="18"/>
        <v>4.8485E-2</v>
      </c>
      <c r="N36" s="9">
        <v>0.83</v>
      </c>
      <c r="O36" s="20">
        <f t="shared" si="19"/>
        <v>3.8887840000000016</v>
      </c>
      <c r="S36" s="1" t="s">
        <v>215</v>
      </c>
      <c r="T36" s="1" t="s">
        <v>235</v>
      </c>
      <c r="U36" s="46" t="s">
        <v>46</v>
      </c>
      <c r="V36" s="3" t="s">
        <v>167</v>
      </c>
      <c r="W36" s="3">
        <v>354</v>
      </c>
      <c r="X36" s="1" t="s">
        <v>59</v>
      </c>
      <c r="Y36" s="58">
        <v>13.035</v>
      </c>
      <c r="Z36" s="58">
        <v>0.24</v>
      </c>
      <c r="AA36" s="58">
        <v>13.077</v>
      </c>
      <c r="AB36" s="58">
        <v>1.4999999999999999E-2</v>
      </c>
      <c r="AC36" s="15">
        <f t="shared" si="24"/>
        <v>-4.1999999999999815E-2</v>
      </c>
      <c r="AD36" s="15">
        <f t="shared" si="25"/>
        <v>0.24046829312822096</v>
      </c>
      <c r="AE36" s="15">
        <f t="shared" si="26"/>
        <v>5.7825000000000001E-2</v>
      </c>
      <c r="AF36" s="3">
        <v>-0.85</v>
      </c>
      <c r="AG36" s="20">
        <f t="shared" si="27"/>
        <v>0.65286400000000022</v>
      </c>
    </row>
    <row r="37" spans="1:33">
      <c r="A37" s="1" t="s">
        <v>214</v>
      </c>
      <c r="B37" s="1" t="s">
        <v>101</v>
      </c>
      <c r="C37" s="46" t="s">
        <v>46</v>
      </c>
      <c r="D37" s="25" t="s">
        <v>138</v>
      </c>
      <c r="E37" s="3" t="s">
        <v>139</v>
      </c>
      <c r="F37" s="1" t="s">
        <v>144</v>
      </c>
      <c r="G37" s="1">
        <v>-20.12</v>
      </c>
      <c r="H37" s="1">
        <v>0.253</v>
      </c>
      <c r="I37" s="15">
        <v>-20.663</v>
      </c>
      <c r="J37" s="15">
        <v>0.18</v>
      </c>
      <c r="K37" s="20">
        <f t="shared" si="16"/>
        <v>0.54299999999999926</v>
      </c>
      <c r="L37" s="20">
        <f t="shared" si="17"/>
        <v>0.31049798711102783</v>
      </c>
      <c r="M37" s="20">
        <f t="shared" si="18"/>
        <v>9.6409000000000009E-2</v>
      </c>
      <c r="N37" s="9">
        <v>1.07</v>
      </c>
      <c r="O37" s="20">
        <f t="shared" si="19"/>
        <v>0.27772900000000084</v>
      </c>
      <c r="S37" s="1" t="s">
        <v>215</v>
      </c>
      <c r="T37" s="1" t="s">
        <v>235</v>
      </c>
      <c r="U37" s="46" t="s">
        <v>46</v>
      </c>
      <c r="V37" s="3" t="s">
        <v>13</v>
      </c>
      <c r="W37" s="3">
        <v>355</v>
      </c>
      <c r="X37" s="1" t="s">
        <v>187</v>
      </c>
      <c r="Y37" s="58">
        <v>16.288</v>
      </c>
      <c r="Z37" s="58">
        <v>0.23200000000000001</v>
      </c>
      <c r="AA37" s="58">
        <v>14.128</v>
      </c>
      <c r="AB37" s="58">
        <v>0.09</v>
      </c>
      <c r="AC37" s="15">
        <f t="shared" si="24"/>
        <v>2.16</v>
      </c>
      <c r="AD37" s="15">
        <f t="shared" si="25"/>
        <v>0.2488453334905037</v>
      </c>
      <c r="AE37" s="15">
        <f t="shared" si="26"/>
        <v>6.1924E-2</v>
      </c>
      <c r="AF37" s="3">
        <v>0.46</v>
      </c>
      <c r="AG37" s="20">
        <f t="shared" si="27"/>
        <v>2.8900000000000006</v>
      </c>
    </row>
    <row r="38" spans="1:33">
      <c r="A38" s="1" t="s">
        <v>214</v>
      </c>
      <c r="B38" s="1" t="s">
        <v>82</v>
      </c>
      <c r="C38" s="46" t="s">
        <v>70</v>
      </c>
      <c r="D38" s="16" t="s">
        <v>4</v>
      </c>
      <c r="E38" s="16" t="s">
        <v>245</v>
      </c>
      <c r="F38" s="1" t="s">
        <v>77</v>
      </c>
      <c r="G38" s="15">
        <v>46.137999999999998</v>
      </c>
      <c r="H38" s="15">
        <v>5.0999999999999997E-2</v>
      </c>
      <c r="I38" s="15">
        <v>46.04</v>
      </c>
      <c r="J38" s="15">
        <v>2.7E-2</v>
      </c>
      <c r="K38" s="15">
        <f>(G38-I38)</f>
        <v>9.7999999999998977E-2</v>
      </c>
      <c r="L38" s="15">
        <f>SQRT((H38)^2 + (J38)^2)</f>
        <v>5.7706152185014029E-2</v>
      </c>
      <c r="M38" s="15">
        <f>L38^2</f>
        <v>3.3299999999999992E-3</v>
      </c>
      <c r="N38" s="16">
        <v>-0.22</v>
      </c>
      <c r="O38" s="20">
        <f>(K38-N38)^2</f>
        <v>0.10112399999999933</v>
      </c>
      <c r="S38" s="1" t="s">
        <v>215</v>
      </c>
      <c r="T38" s="1" t="s">
        <v>235</v>
      </c>
      <c r="U38" s="46" t="s">
        <v>46</v>
      </c>
      <c r="V38" s="3" t="s">
        <v>168</v>
      </c>
      <c r="W38" s="3">
        <v>357</v>
      </c>
      <c r="X38" s="1" t="s">
        <v>61</v>
      </c>
      <c r="Y38" s="58">
        <v>-5.1020000000000003</v>
      </c>
      <c r="Z38" s="58">
        <v>0.14299999999999999</v>
      </c>
      <c r="AA38" s="58">
        <v>-5.0380000000000003</v>
      </c>
      <c r="AB38" s="58">
        <v>1.4E-2</v>
      </c>
      <c r="AC38" s="15">
        <f t="shared" si="24"/>
        <v>-6.4000000000000057E-2</v>
      </c>
      <c r="AD38" s="15">
        <f t="shared" si="25"/>
        <v>0.14368368035375484</v>
      </c>
      <c r="AE38" s="15">
        <f t="shared" si="26"/>
        <v>2.0644999999999993E-2</v>
      </c>
      <c r="AF38" s="3">
        <v>0.99</v>
      </c>
      <c r="AG38" s="20">
        <f t="shared" si="27"/>
        <v>1.110916</v>
      </c>
    </row>
    <row r="39" spans="1:33">
      <c r="A39" s="1" t="s">
        <v>214</v>
      </c>
      <c r="B39" s="1" t="s">
        <v>82</v>
      </c>
      <c r="C39" s="46" t="s">
        <v>70</v>
      </c>
      <c r="D39" s="16" t="s">
        <v>119</v>
      </c>
      <c r="E39" s="16" t="s">
        <v>246</v>
      </c>
      <c r="F39" s="1" t="s">
        <v>247</v>
      </c>
      <c r="G39" s="15">
        <v>68.563000000000002</v>
      </c>
      <c r="H39" s="15">
        <v>0.11</v>
      </c>
      <c r="I39" s="15">
        <v>68.096000000000004</v>
      </c>
      <c r="J39" s="15">
        <v>6.3E-2</v>
      </c>
      <c r="K39" s="15">
        <f t="shared" ref="K39:K41" si="28">(G39-I39)</f>
        <v>0.46699999999999875</v>
      </c>
      <c r="L39" s="15">
        <f t="shared" ref="L39:L41" si="29">SQRT((H39)^2 + (J39)^2)</f>
        <v>0.126763559432512</v>
      </c>
      <c r="M39" s="15">
        <f t="shared" ref="M39:M41" si="30">L39^2</f>
        <v>1.6069E-2</v>
      </c>
      <c r="N39" s="16">
        <v>0.2</v>
      </c>
      <c r="O39" s="20">
        <f t="shared" ref="O39:O41" si="31">(K39-N39)^2</f>
        <v>7.1288999999999325E-2</v>
      </c>
      <c r="S39" s="1" t="s">
        <v>215</v>
      </c>
      <c r="T39" s="1" t="s">
        <v>235</v>
      </c>
      <c r="U39" s="46" t="s">
        <v>46</v>
      </c>
      <c r="V39" s="3" t="s">
        <v>169</v>
      </c>
      <c r="W39" s="3">
        <v>358</v>
      </c>
      <c r="X39" s="1" t="s">
        <v>91</v>
      </c>
      <c r="Y39" s="58">
        <v>70.59</v>
      </c>
      <c r="Z39" s="58">
        <v>0.251</v>
      </c>
      <c r="AA39" s="58">
        <v>69.650000000000006</v>
      </c>
      <c r="AB39" s="58">
        <v>4.8000000000000001E-2</v>
      </c>
      <c r="AC39" s="15">
        <f t="shared" si="24"/>
        <v>0.93999999999999773</v>
      </c>
      <c r="AD39" s="15">
        <f t="shared" si="25"/>
        <v>0.25554842985234716</v>
      </c>
      <c r="AE39" s="15">
        <f t="shared" si="26"/>
        <v>6.5305000000000002E-2</v>
      </c>
      <c r="AF39" s="3">
        <v>1.53</v>
      </c>
      <c r="AG39" s="20">
        <f t="shared" si="27"/>
        <v>0.34810000000000274</v>
      </c>
    </row>
    <row r="40" spans="1:33">
      <c r="A40" s="1" t="s">
        <v>214</v>
      </c>
      <c r="B40" s="1" t="s">
        <v>101</v>
      </c>
      <c r="C40" s="46" t="s">
        <v>70</v>
      </c>
      <c r="D40" s="25" t="s">
        <v>120</v>
      </c>
      <c r="E40" s="16" t="s">
        <v>248</v>
      </c>
      <c r="F40" s="1" t="s">
        <v>249</v>
      </c>
      <c r="G40" s="15">
        <v>-24.228999999999999</v>
      </c>
      <c r="H40" s="15">
        <v>0.23</v>
      </c>
      <c r="I40" s="1">
        <v>-24.893999999999998</v>
      </c>
      <c r="J40" s="1">
        <v>7.1999999999999995E-2</v>
      </c>
      <c r="K40" s="15">
        <f t="shared" si="28"/>
        <v>0.66499999999999915</v>
      </c>
      <c r="L40" s="15">
        <f t="shared" si="29"/>
        <v>0.24100622398602076</v>
      </c>
      <c r="M40" s="15">
        <f t="shared" si="30"/>
        <v>5.8084000000000004E-2</v>
      </c>
      <c r="N40" s="16">
        <v>-0.87</v>
      </c>
      <c r="O40" s="20">
        <f t="shared" si="31"/>
        <v>2.3562249999999976</v>
      </c>
      <c r="S40" s="1" t="s">
        <v>215</v>
      </c>
      <c r="T40" s="1" t="s">
        <v>235</v>
      </c>
      <c r="U40" s="46" t="s">
        <v>46</v>
      </c>
      <c r="V40" s="3" t="s">
        <v>170</v>
      </c>
      <c r="W40" s="3">
        <v>360</v>
      </c>
      <c r="X40" s="1" t="s">
        <v>205</v>
      </c>
      <c r="Y40" s="58">
        <v>11.920999999999999</v>
      </c>
      <c r="Z40" s="58">
        <v>0.108</v>
      </c>
      <c r="AA40" s="58">
        <v>11.971</v>
      </c>
      <c r="AB40" s="58">
        <v>4.2999999999999997E-2</v>
      </c>
      <c r="AC40" s="15">
        <f t="shared" si="24"/>
        <v>-5.0000000000000711E-2</v>
      </c>
      <c r="AD40" s="15">
        <f t="shared" si="25"/>
        <v>0.11624543001770005</v>
      </c>
      <c r="AE40" s="15">
        <f t="shared" si="26"/>
        <v>1.3512999999999999E-2</v>
      </c>
      <c r="AF40" s="3">
        <v>0.06</v>
      </c>
      <c r="AG40" s="20">
        <f t="shared" si="27"/>
        <v>1.2100000000000156E-2</v>
      </c>
    </row>
    <row r="41" spans="1:33">
      <c r="A41" s="1" t="s">
        <v>214</v>
      </c>
      <c r="B41" s="1" t="s">
        <v>101</v>
      </c>
      <c r="C41" s="46" t="s">
        <v>70</v>
      </c>
      <c r="D41" s="25" t="s">
        <v>123</v>
      </c>
      <c r="E41" s="24" t="s">
        <v>250</v>
      </c>
      <c r="F41" s="1" t="s">
        <v>251</v>
      </c>
      <c r="G41" s="15">
        <v>-24.204000000000001</v>
      </c>
      <c r="H41" s="15">
        <v>0.20200000000000001</v>
      </c>
      <c r="I41" s="1">
        <v>-24.027000000000001</v>
      </c>
      <c r="J41" s="1">
        <v>0.24399999999999999</v>
      </c>
      <c r="K41" s="15">
        <f t="shared" si="28"/>
        <v>-0.1769999999999996</v>
      </c>
      <c r="L41" s="15">
        <f t="shared" si="29"/>
        <v>0.3167648970451114</v>
      </c>
      <c r="M41" s="15">
        <f t="shared" si="30"/>
        <v>0.10034000000000003</v>
      </c>
      <c r="N41" s="16">
        <v>0.83</v>
      </c>
      <c r="O41" s="20">
        <f t="shared" si="31"/>
        <v>1.0140489999999993</v>
      </c>
      <c r="S41" s="1" t="s">
        <v>215</v>
      </c>
      <c r="T41" s="1" t="s">
        <v>235</v>
      </c>
      <c r="U41" s="46" t="s">
        <v>46</v>
      </c>
      <c r="V41" s="3" t="s">
        <v>171</v>
      </c>
      <c r="W41" s="3">
        <v>402</v>
      </c>
      <c r="X41" s="1" t="s">
        <v>92</v>
      </c>
      <c r="Y41" s="58">
        <v>-7.6740000000000004</v>
      </c>
      <c r="Z41" s="58">
        <v>0.126</v>
      </c>
      <c r="AA41" s="58">
        <v>-8.4039999999999999</v>
      </c>
      <c r="AB41" s="58">
        <v>0.154</v>
      </c>
      <c r="AC41" s="15">
        <f t="shared" si="24"/>
        <v>0.72999999999999954</v>
      </c>
      <c r="AD41" s="15">
        <f t="shared" si="25"/>
        <v>0.19897738564972653</v>
      </c>
      <c r="AE41" s="15">
        <f t="shared" si="26"/>
        <v>3.9591999999999995E-2</v>
      </c>
      <c r="AF41" s="3">
        <v>0.47</v>
      </c>
      <c r="AG41" s="20">
        <f t="shared" si="27"/>
        <v>6.7599999999999771E-2</v>
      </c>
    </row>
    <row r="42" spans="1:33">
      <c r="A42" s="1" t="s">
        <v>215</v>
      </c>
      <c r="B42" s="1" t="s">
        <v>235</v>
      </c>
      <c r="C42" s="46" t="s">
        <v>46</v>
      </c>
      <c r="D42" s="3" t="s">
        <v>162</v>
      </c>
      <c r="E42" s="3">
        <v>332</v>
      </c>
      <c r="F42" s="1" t="s">
        <v>202</v>
      </c>
      <c r="G42" s="15">
        <v>4.58</v>
      </c>
      <c r="H42" s="15">
        <v>0.188</v>
      </c>
      <c r="I42" s="15">
        <v>3.4510000000000001</v>
      </c>
      <c r="J42" s="15">
        <v>0.22500000000000001</v>
      </c>
      <c r="K42" s="15">
        <f>(G42-I42)</f>
        <v>1.129</v>
      </c>
      <c r="L42" s="15">
        <f>SQRT((H42)^2 + (J42)^2)</f>
        <v>0.29320470664707959</v>
      </c>
      <c r="M42" s="15">
        <f>L42^2</f>
        <v>8.5969000000000004E-2</v>
      </c>
      <c r="N42" s="3">
        <v>0.56999999999999995</v>
      </c>
      <c r="O42" s="20">
        <f>(K42-N42)^2</f>
        <v>0.31248100000000006</v>
      </c>
      <c r="S42" s="1" t="s">
        <v>215</v>
      </c>
      <c r="T42" s="1" t="s">
        <v>235</v>
      </c>
      <c r="U42" s="46" t="s">
        <v>46</v>
      </c>
      <c r="V42" s="3" t="s">
        <v>172</v>
      </c>
      <c r="W42" s="3">
        <v>403</v>
      </c>
      <c r="X42" s="1" t="s">
        <v>93</v>
      </c>
      <c r="Y42" s="58">
        <v>10.567</v>
      </c>
      <c r="Z42" s="58">
        <v>0.20100000000000001</v>
      </c>
      <c r="AA42" s="58">
        <v>10.347</v>
      </c>
      <c r="AB42" s="58">
        <v>7.2999999999999995E-2</v>
      </c>
      <c r="AC42" s="15">
        <f t="shared" si="24"/>
        <v>0.22000000000000064</v>
      </c>
      <c r="AD42" s="15">
        <f t="shared" si="25"/>
        <v>0.21384573879317775</v>
      </c>
      <c r="AE42" s="15">
        <f t="shared" si="26"/>
        <v>4.5730000000000007E-2</v>
      </c>
      <c r="AF42" s="3">
        <v>-0.43</v>
      </c>
      <c r="AG42" s="20">
        <f t="shared" si="27"/>
        <v>0.42250000000000076</v>
      </c>
    </row>
    <row r="43" spans="1:33">
      <c r="A43" s="1" t="s">
        <v>215</v>
      </c>
      <c r="B43" s="1" t="s">
        <v>101</v>
      </c>
      <c r="C43" s="46" t="s">
        <v>46</v>
      </c>
      <c r="D43" s="6" t="s">
        <v>9</v>
      </c>
      <c r="E43" s="3">
        <v>346</v>
      </c>
      <c r="F43" s="1" t="s">
        <v>203</v>
      </c>
      <c r="G43" s="1">
        <v>-38.686</v>
      </c>
      <c r="H43" s="1">
        <v>0.495</v>
      </c>
      <c r="I43" s="1">
        <v>-40.798999999999999</v>
      </c>
      <c r="J43" s="1">
        <v>0.32400000000000001</v>
      </c>
      <c r="K43" s="15">
        <f t="shared" ref="K43:K55" si="32">(G43-I43)</f>
        <v>2.1129999999999995</v>
      </c>
      <c r="L43" s="15">
        <f t="shared" ref="L43:L55" si="33">SQRT((H43)^2 + (J43)^2)</f>
        <v>0.59160882346361265</v>
      </c>
      <c r="M43" s="15">
        <f t="shared" ref="M43:M55" si="34">L43^2</f>
        <v>0.35000100000000001</v>
      </c>
      <c r="N43" s="3">
        <v>1.07</v>
      </c>
      <c r="O43" s="20">
        <f t="shared" ref="O43:O55" si="35">(K43-N43)^2</f>
        <v>1.087848999999999</v>
      </c>
      <c r="S43" s="1" t="s">
        <v>215</v>
      </c>
      <c r="T43" s="1" t="s">
        <v>82</v>
      </c>
      <c r="U43" s="46" t="s">
        <v>70</v>
      </c>
      <c r="V43" s="3" t="s">
        <v>14</v>
      </c>
      <c r="W43" s="3">
        <v>526</v>
      </c>
      <c r="X43" s="59" t="s">
        <v>195</v>
      </c>
      <c r="Y43" s="15">
        <v>-5.5309999999999997</v>
      </c>
      <c r="Z43" s="15">
        <v>0.28499999999999998</v>
      </c>
      <c r="AA43" s="15">
        <v>-5.2270000000000003</v>
      </c>
      <c r="AB43" s="15">
        <v>8.2000000000000003E-2</v>
      </c>
      <c r="AC43" s="15">
        <f>Y43-AA43</f>
        <v>-0.30399999999999938</v>
      </c>
      <c r="AD43" s="15">
        <f>SQRT((Z43)^2 + (AB43)^2)</f>
        <v>0.29656196654325045</v>
      </c>
      <c r="AE43" s="15">
        <f>AD43^2</f>
        <v>8.7948999999999999E-2</v>
      </c>
      <c r="AF43" s="3">
        <v>-0.51</v>
      </c>
      <c r="AG43" s="20">
        <f>(AC43-AF43)^2</f>
        <v>4.2436000000000258E-2</v>
      </c>
    </row>
    <row r="44" spans="1:33">
      <c r="A44" s="1" t="s">
        <v>215</v>
      </c>
      <c r="B44" s="1" t="s">
        <v>101</v>
      </c>
      <c r="C44" s="46" t="s">
        <v>46</v>
      </c>
      <c r="D44" s="6" t="s">
        <v>11</v>
      </c>
      <c r="E44" s="3">
        <v>349</v>
      </c>
      <c r="F44" s="1" t="s">
        <v>186</v>
      </c>
      <c r="G44" s="15">
        <v>-41.232999999999997</v>
      </c>
      <c r="H44" s="15">
        <v>0.193</v>
      </c>
      <c r="I44" s="15">
        <v>-43.319000000000003</v>
      </c>
      <c r="J44" s="15">
        <v>8.5000000000000006E-2</v>
      </c>
      <c r="K44" s="15">
        <f t="shared" si="32"/>
        <v>2.0860000000000056</v>
      </c>
      <c r="L44" s="15">
        <f t="shared" si="33"/>
        <v>0.21088859618291361</v>
      </c>
      <c r="M44" s="15">
        <f t="shared" si="34"/>
        <v>4.4474000000000007E-2</v>
      </c>
      <c r="N44" s="3">
        <v>1.53</v>
      </c>
      <c r="O44" s="20">
        <f t="shared" si="35"/>
        <v>0.30913600000000624</v>
      </c>
      <c r="AE44" s="18" t="s">
        <v>67</v>
      </c>
      <c r="AF44" s="18"/>
      <c r="AG44" s="18" t="s">
        <v>67</v>
      </c>
    </row>
    <row r="45" spans="1:33">
      <c r="A45" s="1" t="s">
        <v>215</v>
      </c>
      <c r="B45" s="1" t="s">
        <v>235</v>
      </c>
      <c r="C45" s="46" t="s">
        <v>46</v>
      </c>
      <c r="D45" s="3" t="s">
        <v>166</v>
      </c>
      <c r="E45" s="3">
        <v>353</v>
      </c>
      <c r="F45" s="1" t="s">
        <v>58</v>
      </c>
      <c r="G45" s="58">
        <v>-4.1100000000000003</v>
      </c>
      <c r="H45" s="58">
        <v>7.6999999999999999E-2</v>
      </c>
      <c r="I45" s="58">
        <v>-4.2249999999999996</v>
      </c>
      <c r="J45" s="58">
        <v>0.08</v>
      </c>
      <c r="K45" s="15">
        <f t="shared" si="32"/>
        <v>0.11499999999999932</v>
      </c>
      <c r="L45" s="15">
        <f t="shared" si="33"/>
        <v>0.11103603018840326</v>
      </c>
      <c r="M45" s="15">
        <f t="shared" si="34"/>
        <v>1.2329E-2</v>
      </c>
      <c r="N45" s="3">
        <v>-0.82</v>
      </c>
      <c r="O45" s="20">
        <f t="shared" si="35"/>
        <v>0.8742249999999987</v>
      </c>
      <c r="AE45" s="20">
        <f>SUM(AE3:AE43)</f>
        <v>2.7701759999999989</v>
      </c>
      <c r="AF45" s="20"/>
      <c r="AG45" s="20">
        <f>SUM(AG3:AG43)</f>
        <v>30.139999999999969</v>
      </c>
    </row>
    <row r="46" spans="1:33">
      <c r="A46" s="1" t="s">
        <v>215</v>
      </c>
      <c r="B46" s="1" t="s">
        <v>235</v>
      </c>
      <c r="C46" s="46" t="s">
        <v>46</v>
      </c>
      <c r="D46" s="3" t="s">
        <v>167</v>
      </c>
      <c r="E46" s="3">
        <v>354</v>
      </c>
      <c r="F46" s="1" t="s">
        <v>59</v>
      </c>
      <c r="G46" s="58">
        <v>13.035</v>
      </c>
      <c r="H46" s="58">
        <v>0.24</v>
      </c>
      <c r="I46" s="58">
        <v>13.077</v>
      </c>
      <c r="J46" s="58">
        <v>1.4999999999999999E-2</v>
      </c>
      <c r="K46" s="15">
        <f t="shared" si="32"/>
        <v>-4.1999999999999815E-2</v>
      </c>
      <c r="L46" s="15">
        <f t="shared" si="33"/>
        <v>0.24046829312822096</v>
      </c>
      <c r="M46" s="15">
        <f t="shared" si="34"/>
        <v>5.7825000000000001E-2</v>
      </c>
      <c r="N46" s="3">
        <v>-0.85</v>
      </c>
      <c r="O46" s="20">
        <f t="shared" si="35"/>
        <v>0.65286400000000022</v>
      </c>
      <c r="AE46" s="20"/>
      <c r="AF46" s="20"/>
      <c r="AG46" s="20"/>
    </row>
    <row r="47" spans="1:33">
      <c r="A47" s="1" t="s">
        <v>215</v>
      </c>
      <c r="B47" s="1" t="s">
        <v>235</v>
      </c>
      <c r="C47" s="46" t="s">
        <v>46</v>
      </c>
      <c r="D47" s="3" t="s">
        <v>13</v>
      </c>
      <c r="E47" s="3">
        <v>355</v>
      </c>
      <c r="F47" s="1" t="s">
        <v>187</v>
      </c>
      <c r="G47" s="58">
        <v>16.288</v>
      </c>
      <c r="H47" s="58">
        <v>0.23200000000000001</v>
      </c>
      <c r="I47" s="58">
        <v>14.128</v>
      </c>
      <c r="J47" s="58">
        <v>0.09</v>
      </c>
      <c r="K47" s="15">
        <f t="shared" si="32"/>
        <v>2.16</v>
      </c>
      <c r="L47" s="15">
        <f t="shared" si="33"/>
        <v>0.2488453334905037</v>
      </c>
      <c r="M47" s="15">
        <f t="shared" si="34"/>
        <v>6.1924E-2</v>
      </c>
      <c r="N47" s="3">
        <v>0.46</v>
      </c>
      <c r="O47" s="20">
        <f t="shared" si="35"/>
        <v>2.8900000000000006</v>
      </c>
      <c r="AE47" s="20"/>
      <c r="AF47" s="19" t="s">
        <v>68</v>
      </c>
      <c r="AG47" s="20">
        <f>SQRT(AG45/41)</f>
        <v>0.85739253041970886</v>
      </c>
    </row>
    <row r="48" spans="1:33">
      <c r="A48" s="1" t="s">
        <v>215</v>
      </c>
      <c r="B48" s="1" t="s">
        <v>235</v>
      </c>
      <c r="C48" s="46" t="s">
        <v>46</v>
      </c>
      <c r="D48" s="3" t="s">
        <v>168</v>
      </c>
      <c r="E48" s="3">
        <v>357</v>
      </c>
      <c r="F48" s="1" t="s">
        <v>61</v>
      </c>
      <c r="G48" s="58">
        <v>-5.1020000000000003</v>
      </c>
      <c r="H48" s="58">
        <v>0.14299999999999999</v>
      </c>
      <c r="I48" s="58">
        <v>-5.0380000000000003</v>
      </c>
      <c r="J48" s="58">
        <v>1.4E-2</v>
      </c>
      <c r="K48" s="15">
        <f t="shared" si="32"/>
        <v>-6.4000000000000057E-2</v>
      </c>
      <c r="L48" s="15">
        <f t="shared" si="33"/>
        <v>0.14368368035375484</v>
      </c>
      <c r="M48" s="15">
        <f t="shared" si="34"/>
        <v>2.0644999999999993E-2</v>
      </c>
      <c r="N48" s="3">
        <v>0.99</v>
      </c>
      <c r="O48" s="20">
        <f t="shared" si="35"/>
        <v>1.110916</v>
      </c>
      <c r="AE48" s="20"/>
      <c r="AF48" s="19" t="s">
        <v>40</v>
      </c>
      <c r="AG48" s="20">
        <f>SQRT(AE45/41)</f>
        <v>0.25993319967384487</v>
      </c>
    </row>
    <row r="49" spans="1:15">
      <c r="A49" s="1" t="s">
        <v>215</v>
      </c>
      <c r="B49" s="1" t="s">
        <v>235</v>
      </c>
      <c r="C49" s="46" t="s">
        <v>46</v>
      </c>
      <c r="D49" s="3" t="s">
        <v>169</v>
      </c>
      <c r="E49" s="3">
        <v>358</v>
      </c>
      <c r="F49" s="1" t="s">
        <v>91</v>
      </c>
      <c r="G49" s="58">
        <v>70.59</v>
      </c>
      <c r="H49" s="58">
        <v>0.251</v>
      </c>
      <c r="I49" s="58">
        <v>69.650000000000006</v>
      </c>
      <c r="J49" s="58">
        <v>4.8000000000000001E-2</v>
      </c>
      <c r="K49" s="15">
        <f t="shared" si="32"/>
        <v>0.93999999999999773</v>
      </c>
      <c r="L49" s="15">
        <f t="shared" si="33"/>
        <v>0.25554842985234716</v>
      </c>
      <c r="M49" s="15">
        <f t="shared" si="34"/>
        <v>6.5305000000000002E-2</v>
      </c>
      <c r="N49" s="3">
        <v>1.53</v>
      </c>
      <c r="O49" s="20">
        <f t="shared" si="35"/>
        <v>0.34810000000000274</v>
      </c>
    </row>
    <row r="50" spans="1:15">
      <c r="A50" s="1" t="s">
        <v>215</v>
      </c>
      <c r="B50" s="1" t="s">
        <v>235</v>
      </c>
      <c r="C50" s="46" t="s">
        <v>46</v>
      </c>
      <c r="D50" s="3" t="s">
        <v>170</v>
      </c>
      <c r="E50" s="3">
        <v>360</v>
      </c>
      <c r="F50" s="1" t="s">
        <v>205</v>
      </c>
      <c r="G50" s="58">
        <v>11.920999999999999</v>
      </c>
      <c r="H50" s="58">
        <v>0.108</v>
      </c>
      <c r="I50" s="58">
        <v>11.971</v>
      </c>
      <c r="J50" s="58">
        <v>4.2999999999999997E-2</v>
      </c>
      <c r="K50" s="15">
        <f t="shared" si="32"/>
        <v>-5.0000000000000711E-2</v>
      </c>
      <c r="L50" s="15">
        <f t="shared" si="33"/>
        <v>0.11624543001770005</v>
      </c>
      <c r="M50" s="15">
        <f t="shared" si="34"/>
        <v>1.3512999999999999E-2</v>
      </c>
      <c r="N50" s="3">
        <v>0.06</v>
      </c>
      <c r="O50" s="20">
        <f t="shared" si="35"/>
        <v>1.2100000000000156E-2</v>
      </c>
    </row>
    <row r="51" spans="1:15">
      <c r="A51" s="1" t="s">
        <v>215</v>
      </c>
      <c r="B51" s="1" t="s">
        <v>235</v>
      </c>
      <c r="C51" s="46" t="s">
        <v>46</v>
      </c>
      <c r="D51" s="3" t="s">
        <v>171</v>
      </c>
      <c r="E51" s="3">
        <v>402</v>
      </c>
      <c r="F51" s="1" t="s">
        <v>92</v>
      </c>
      <c r="G51" s="58">
        <v>-7.6740000000000004</v>
      </c>
      <c r="H51" s="58">
        <v>0.126</v>
      </c>
      <c r="I51" s="58">
        <v>-8.4039999999999999</v>
      </c>
      <c r="J51" s="58">
        <v>0.154</v>
      </c>
      <c r="K51" s="15">
        <f t="shared" si="32"/>
        <v>0.72999999999999954</v>
      </c>
      <c r="L51" s="15">
        <f t="shared" si="33"/>
        <v>0.19897738564972653</v>
      </c>
      <c r="M51" s="15">
        <f t="shared" si="34"/>
        <v>3.9591999999999995E-2</v>
      </c>
      <c r="N51" s="3">
        <v>0.47</v>
      </c>
      <c r="O51" s="20">
        <f t="shared" si="35"/>
        <v>6.7599999999999771E-2</v>
      </c>
    </row>
    <row r="52" spans="1:15">
      <c r="A52" s="1" t="s">
        <v>215</v>
      </c>
      <c r="B52" s="1" t="s">
        <v>235</v>
      </c>
      <c r="C52" s="46" t="s">
        <v>46</v>
      </c>
      <c r="D52" s="3" t="s">
        <v>172</v>
      </c>
      <c r="E52" s="3">
        <v>403</v>
      </c>
      <c r="F52" s="1" t="s">
        <v>93</v>
      </c>
      <c r="G52" s="58">
        <v>10.567</v>
      </c>
      <c r="H52" s="58">
        <v>0.20100000000000001</v>
      </c>
      <c r="I52" s="58">
        <v>10.347</v>
      </c>
      <c r="J52" s="58">
        <v>7.2999999999999995E-2</v>
      </c>
      <c r="K52" s="15">
        <f t="shared" si="32"/>
        <v>0.22000000000000064</v>
      </c>
      <c r="L52" s="15">
        <f t="shared" si="33"/>
        <v>0.21384573879317775</v>
      </c>
      <c r="M52" s="15">
        <f t="shared" si="34"/>
        <v>4.5730000000000007E-2</v>
      </c>
      <c r="N52" s="3">
        <v>-0.43</v>
      </c>
      <c r="O52" s="20">
        <f t="shared" si="35"/>
        <v>0.42250000000000076</v>
      </c>
    </row>
    <row r="53" spans="1:15">
      <c r="A53" s="1" t="s">
        <v>215</v>
      </c>
      <c r="B53" s="1" t="s">
        <v>101</v>
      </c>
      <c r="C53" s="46" t="s">
        <v>46</v>
      </c>
      <c r="D53" s="6" t="s">
        <v>173</v>
      </c>
      <c r="E53" s="3">
        <v>404</v>
      </c>
      <c r="F53" s="1" t="s">
        <v>94</v>
      </c>
      <c r="G53" s="15">
        <v>13.606999999999999</v>
      </c>
      <c r="H53" s="15">
        <v>8.2000000000000003E-2</v>
      </c>
      <c r="I53" s="15">
        <v>11.808999999999999</v>
      </c>
      <c r="J53" s="15">
        <v>5.1999999999999998E-2</v>
      </c>
      <c r="K53" s="15">
        <f t="shared" si="32"/>
        <v>1.798</v>
      </c>
      <c r="L53" s="15">
        <f t="shared" si="33"/>
        <v>9.709788875150685E-2</v>
      </c>
      <c r="M53" s="15">
        <f t="shared" si="34"/>
        <v>9.4280000000000006E-3</v>
      </c>
      <c r="N53" s="3">
        <v>-0.27</v>
      </c>
      <c r="O53" s="20">
        <f t="shared" si="35"/>
        <v>4.276624</v>
      </c>
    </row>
    <row r="54" spans="1:15">
      <c r="A54" s="1" t="s">
        <v>215</v>
      </c>
      <c r="B54" s="1" t="s">
        <v>101</v>
      </c>
      <c r="C54" s="46" t="s">
        <v>46</v>
      </c>
      <c r="D54" s="6" t="s">
        <v>174</v>
      </c>
      <c r="E54" s="3">
        <v>405</v>
      </c>
      <c r="F54" s="1" t="s">
        <v>188</v>
      </c>
      <c r="G54" s="15">
        <v>10.619</v>
      </c>
      <c r="H54" s="15">
        <v>8.4000000000000005E-2</v>
      </c>
      <c r="I54" s="15">
        <v>11.567</v>
      </c>
      <c r="J54" s="15">
        <v>0.21099999999999999</v>
      </c>
      <c r="K54" s="15">
        <f t="shared" si="32"/>
        <v>-0.9480000000000004</v>
      </c>
      <c r="L54" s="15">
        <f t="shared" si="33"/>
        <v>0.22710570226218452</v>
      </c>
      <c r="M54" s="15">
        <f t="shared" si="34"/>
        <v>5.1577000000000005E-2</v>
      </c>
      <c r="N54" s="3">
        <v>-0.63</v>
      </c>
      <c r="O54" s="20">
        <f t="shared" si="35"/>
        <v>0.10112400000000026</v>
      </c>
    </row>
    <row r="55" spans="1:15">
      <c r="A55" s="1" t="s">
        <v>215</v>
      </c>
      <c r="B55" s="1" t="s">
        <v>101</v>
      </c>
      <c r="C55" s="46" t="s">
        <v>46</v>
      </c>
      <c r="D55" s="6" t="s">
        <v>175</v>
      </c>
      <c r="E55" s="3">
        <v>407</v>
      </c>
      <c r="F55" s="1" t="s">
        <v>189</v>
      </c>
      <c r="G55" s="15">
        <v>14.644</v>
      </c>
      <c r="H55" s="15">
        <v>5.1999999999999998E-2</v>
      </c>
      <c r="I55" s="15">
        <v>15.069000000000001</v>
      </c>
      <c r="J55" s="15">
        <v>0.24299999999999999</v>
      </c>
      <c r="K55" s="15">
        <f t="shared" si="32"/>
        <v>-0.42500000000000071</v>
      </c>
      <c r="L55" s="15">
        <f t="shared" si="33"/>
        <v>0.248501509049744</v>
      </c>
      <c r="M55" s="15">
        <f t="shared" si="34"/>
        <v>6.1752999999999995E-2</v>
      </c>
      <c r="N55" s="3">
        <v>0.19</v>
      </c>
      <c r="O55" s="20">
        <f t="shared" si="35"/>
        <v>0.37822500000000081</v>
      </c>
    </row>
    <row r="56" spans="1:15">
      <c r="A56" s="1" t="s">
        <v>215</v>
      </c>
      <c r="B56" s="1" t="s">
        <v>82</v>
      </c>
      <c r="C56" s="46" t="s">
        <v>70</v>
      </c>
      <c r="D56" s="3" t="s">
        <v>14</v>
      </c>
      <c r="E56" s="3">
        <v>526</v>
      </c>
      <c r="F56" s="59" t="s">
        <v>195</v>
      </c>
      <c r="G56" s="15">
        <v>-5.5309999999999997</v>
      </c>
      <c r="H56" s="15">
        <v>0.28499999999999998</v>
      </c>
      <c r="I56" s="15">
        <v>-5.2270000000000003</v>
      </c>
      <c r="J56" s="15">
        <v>8.2000000000000003E-2</v>
      </c>
      <c r="K56" s="15">
        <f>G56-I56</f>
        <v>-0.30399999999999938</v>
      </c>
      <c r="L56" s="15">
        <f>SQRT((H56)^2 + (J56)^2)</f>
        <v>0.29656196654325045</v>
      </c>
      <c r="M56" s="15">
        <f>L56^2</f>
        <v>8.7948999999999999E-2</v>
      </c>
      <c r="N56" s="3">
        <v>-0.51</v>
      </c>
      <c r="O56" s="20">
        <f>(K56-N56)^2</f>
        <v>4.2436000000000258E-2</v>
      </c>
    </row>
    <row r="57" spans="1:15">
      <c r="A57" s="1" t="s">
        <v>215</v>
      </c>
      <c r="B57" s="1" t="s">
        <v>101</v>
      </c>
      <c r="C57" s="46" t="s">
        <v>70</v>
      </c>
      <c r="D57" s="6" t="s">
        <v>163</v>
      </c>
      <c r="E57" s="3">
        <v>551</v>
      </c>
      <c r="F57" s="59" t="s">
        <v>196</v>
      </c>
      <c r="G57" s="15">
        <v>-8.8770000000000007</v>
      </c>
      <c r="H57" s="15">
        <v>9.1999999999999998E-2</v>
      </c>
      <c r="I57" s="15">
        <v>-8.9920000000000009</v>
      </c>
      <c r="J57" s="15">
        <v>6.6000000000000003E-2</v>
      </c>
      <c r="K57" s="15">
        <f t="shared" ref="K57:K60" si="36">G57-I57</f>
        <v>0.11500000000000021</v>
      </c>
      <c r="L57" s="15">
        <f t="shared" ref="L57:L60" si="37">SQRT((H57)^2 + (J57)^2)</f>
        <v>0.11322543883774529</v>
      </c>
      <c r="M57" s="15">
        <f t="shared" ref="M57:M60" si="38">L57^2</f>
        <v>1.2819999999999998E-2</v>
      </c>
      <c r="N57" s="3">
        <v>1.1299999999999999</v>
      </c>
      <c r="O57" s="20">
        <f t="shared" ref="O57:O60" si="39">(K57-N57)^2</f>
        <v>1.0302249999999993</v>
      </c>
    </row>
    <row r="58" spans="1:15">
      <c r="A58" s="1" t="s">
        <v>215</v>
      </c>
      <c r="B58" s="1" t="s">
        <v>101</v>
      </c>
      <c r="C58" s="46" t="s">
        <v>70</v>
      </c>
      <c r="D58" s="6" t="s">
        <v>164</v>
      </c>
      <c r="E58" s="3">
        <v>552</v>
      </c>
      <c r="F58" s="59" t="s">
        <v>77</v>
      </c>
      <c r="G58" s="15">
        <v>11.291</v>
      </c>
      <c r="H58" s="15">
        <v>7.6999999999999999E-2</v>
      </c>
      <c r="I58" s="15">
        <v>11.45</v>
      </c>
      <c r="J58" s="15">
        <v>4.8000000000000001E-2</v>
      </c>
      <c r="K58" s="15">
        <f t="shared" si="36"/>
        <v>-0.15899999999999892</v>
      </c>
      <c r="L58" s="15">
        <f t="shared" si="37"/>
        <v>9.0735880444287306E-2</v>
      </c>
      <c r="M58" s="15">
        <f t="shared" si="38"/>
        <v>8.232999999999999E-3</v>
      </c>
      <c r="N58" s="3">
        <v>0.47</v>
      </c>
      <c r="O58" s="20">
        <f t="shared" si="39"/>
        <v>0.39564099999999863</v>
      </c>
    </row>
    <row r="59" spans="1:15">
      <c r="A59" s="1" t="s">
        <v>215</v>
      </c>
      <c r="B59" s="1" t="s">
        <v>101</v>
      </c>
      <c r="C59" s="46" t="s">
        <v>70</v>
      </c>
      <c r="D59" s="6" t="s">
        <v>165</v>
      </c>
      <c r="E59" s="3">
        <v>612</v>
      </c>
      <c r="F59" s="59" t="s">
        <v>197</v>
      </c>
      <c r="G59" s="15">
        <v>7.1749999999999998</v>
      </c>
      <c r="H59" s="15">
        <v>0.30199999999999999</v>
      </c>
      <c r="I59" s="15">
        <v>6.5270000000000001</v>
      </c>
      <c r="J59" s="15">
        <v>0.14699999999999999</v>
      </c>
      <c r="K59" s="15">
        <f t="shared" si="36"/>
        <v>0.64799999999999969</v>
      </c>
      <c r="L59" s="15">
        <f t="shared" si="37"/>
        <v>0.33587646538571292</v>
      </c>
      <c r="M59" s="15">
        <f t="shared" si="38"/>
        <v>0.11281300000000001</v>
      </c>
      <c r="N59" s="3">
        <v>0.97</v>
      </c>
      <c r="O59" s="20">
        <f t="shared" si="39"/>
        <v>0.10368400000000018</v>
      </c>
    </row>
    <row r="60" spans="1:15">
      <c r="A60" s="1" t="s">
        <v>215</v>
      </c>
      <c r="B60" s="1" t="s">
        <v>101</v>
      </c>
      <c r="C60" s="46" t="s">
        <v>70</v>
      </c>
      <c r="D60" s="6" t="s">
        <v>12</v>
      </c>
      <c r="E60" s="3">
        <v>614</v>
      </c>
      <c r="F60" s="1" t="s">
        <v>198</v>
      </c>
      <c r="G60" s="15">
        <v>-24.902000000000001</v>
      </c>
      <c r="H60" s="15">
        <v>0.10299999999999999</v>
      </c>
      <c r="I60" s="15">
        <v>-23.87</v>
      </c>
      <c r="J60" s="15">
        <v>0.13300000000000001</v>
      </c>
      <c r="K60" s="15">
        <f t="shared" si="36"/>
        <v>-1.032</v>
      </c>
      <c r="L60" s="15">
        <f t="shared" si="37"/>
        <v>0.1682200939245963</v>
      </c>
      <c r="M60" s="15">
        <f t="shared" si="38"/>
        <v>2.8298000000000004E-2</v>
      </c>
      <c r="N60" s="3">
        <v>0.02</v>
      </c>
      <c r="O60" s="20">
        <f t="shared" si="39"/>
        <v>1.1067040000000001</v>
      </c>
    </row>
    <row r="61" spans="1:15">
      <c r="M61" s="18" t="s">
        <v>67</v>
      </c>
      <c r="N61" s="18"/>
      <c r="O61" s="18" t="s">
        <v>67</v>
      </c>
    </row>
    <row r="62" spans="1:15">
      <c r="M62" s="20">
        <f>SUM(M3:M60)</f>
        <v>4.1152169999999995</v>
      </c>
      <c r="N62" s="20"/>
      <c r="O62" s="20">
        <f>SUM(O3:O60)</f>
        <v>52.51557199999997</v>
      </c>
    </row>
    <row r="63" spans="1:15">
      <c r="M63" s="20"/>
      <c r="N63" s="20"/>
      <c r="O63" s="20"/>
    </row>
    <row r="64" spans="1:15">
      <c r="M64" s="20"/>
      <c r="N64" s="19" t="s">
        <v>68</v>
      </c>
      <c r="O64" s="20">
        <f>SQRT(O62/58)</f>
        <v>0.95154658138828052</v>
      </c>
    </row>
    <row r="65" spans="13:15">
      <c r="M65" s="20"/>
      <c r="N65" s="19" t="s">
        <v>40</v>
      </c>
      <c r="O65" s="20">
        <f>SQRT(M62/58)</f>
        <v>0.26636819862997779</v>
      </c>
    </row>
    <row r="66" spans="13:15">
      <c r="M66" s="20"/>
      <c r="N66" s="20"/>
      <c r="O66" s="20"/>
    </row>
  </sheetData>
  <phoneticPr fontId="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EA3B6-D8A8-BC41-A76F-62E683FEA283}">
  <dimension ref="A1:X65"/>
  <sheetViews>
    <sheetView topLeftCell="G25" workbookViewId="0">
      <selection activeCell="J64" sqref="J64:J65"/>
    </sheetView>
  </sheetViews>
  <sheetFormatPr baseColWidth="10" defaultRowHeight="16"/>
  <cols>
    <col min="4" max="4" width="18.5" customWidth="1"/>
    <col min="5" max="5" width="11.5" customWidth="1"/>
    <col min="7" max="7" width="16.1640625" customWidth="1"/>
    <col min="8" max="8" width="20.33203125" customWidth="1"/>
    <col min="9" max="9" width="16.33203125" customWidth="1"/>
    <col min="10" max="10" width="15.1640625" customWidth="1"/>
    <col min="11" max="11" width="13.1640625" style="20" customWidth="1"/>
    <col min="12" max="12" width="12.33203125" customWidth="1"/>
    <col min="13" max="13" width="14.1640625" customWidth="1"/>
    <col min="15" max="15" width="13.83203125" customWidth="1"/>
    <col min="17" max="17" width="16.83203125" customWidth="1"/>
    <col min="21" max="21" width="11.6640625" customWidth="1"/>
    <col min="22" max="22" width="16.6640625" customWidth="1"/>
    <col min="24" max="24" width="13.6640625" customWidth="1"/>
  </cols>
  <sheetData>
    <row r="1" spans="1:24" ht="17">
      <c r="A1" s="1"/>
      <c r="B1" s="10" t="s">
        <v>264</v>
      </c>
      <c r="C1" s="11"/>
      <c r="D1" s="11"/>
      <c r="E1" s="11"/>
      <c r="F1" s="11"/>
      <c r="G1" s="11"/>
      <c r="H1" s="11"/>
      <c r="I1" s="11"/>
      <c r="J1" s="11"/>
      <c r="L1" s="11"/>
      <c r="M1" s="11"/>
      <c r="N1" s="11"/>
      <c r="O1" s="10" t="s">
        <v>265</v>
      </c>
      <c r="P1" s="11"/>
      <c r="Q1" s="11"/>
      <c r="R1" s="11"/>
      <c r="S1" s="11"/>
      <c r="T1" s="11"/>
      <c r="U1" s="11"/>
      <c r="V1" s="11"/>
      <c r="W1" s="11"/>
      <c r="X1" s="20"/>
    </row>
    <row r="2" spans="1:24">
      <c r="A2" s="1"/>
      <c r="B2" s="36" t="s">
        <v>30</v>
      </c>
      <c r="C2" s="36" t="s">
        <v>31</v>
      </c>
      <c r="D2" s="36" t="s">
        <v>32</v>
      </c>
      <c r="E2" s="36" t="s">
        <v>33</v>
      </c>
      <c r="F2" s="36" t="s">
        <v>34</v>
      </c>
      <c r="G2" s="36" t="s">
        <v>39</v>
      </c>
      <c r="H2" s="37" t="s">
        <v>40</v>
      </c>
      <c r="I2" s="36" t="s">
        <v>41</v>
      </c>
      <c r="J2" s="36" t="s">
        <v>42</v>
      </c>
      <c r="K2" s="36" t="s">
        <v>43</v>
      </c>
      <c r="L2" s="22"/>
      <c r="M2" s="22"/>
      <c r="N2" s="22"/>
      <c r="O2" s="36" t="s">
        <v>30</v>
      </c>
      <c r="P2" s="36" t="s">
        <v>31</v>
      </c>
      <c r="Q2" s="36" t="s">
        <v>32</v>
      </c>
      <c r="R2" s="36" t="s">
        <v>33</v>
      </c>
      <c r="S2" s="36" t="s">
        <v>34</v>
      </c>
      <c r="T2" s="36" t="s">
        <v>39</v>
      </c>
      <c r="U2" s="37" t="s">
        <v>40</v>
      </c>
      <c r="V2" s="36" t="s">
        <v>41</v>
      </c>
      <c r="W2" s="36" t="s">
        <v>42</v>
      </c>
      <c r="X2" s="36" t="s">
        <v>43</v>
      </c>
    </row>
    <row r="3" spans="1:24">
      <c r="A3" s="1" t="s">
        <v>213</v>
      </c>
      <c r="B3" s="46" t="s">
        <v>235</v>
      </c>
      <c r="C3" s="46" t="s">
        <v>46</v>
      </c>
      <c r="D3" s="8" t="s">
        <v>5</v>
      </c>
      <c r="E3" s="46" t="s">
        <v>47</v>
      </c>
      <c r="F3" s="46" t="s">
        <v>56</v>
      </c>
      <c r="G3" s="1">
        <f>(All!K3+'Untruncated- All'!K3)/2</f>
        <v>0.14100000000000001</v>
      </c>
      <c r="H3" s="20">
        <f>SQRT(0.25*((All!L3)^2 + ('Untruncated- All'!L3)^2))</f>
        <v>0.20879116360612582</v>
      </c>
      <c r="I3" s="20">
        <f>H3^2</f>
        <v>4.3593750000000001E-2</v>
      </c>
      <c r="J3" s="8">
        <v>-0.01</v>
      </c>
      <c r="K3" s="20">
        <f>(G3-J3)^2</f>
        <v>2.2801000000000005E-2</v>
      </c>
      <c r="N3" s="1" t="s">
        <v>213</v>
      </c>
      <c r="O3" s="46" t="s">
        <v>235</v>
      </c>
      <c r="P3" s="46" t="s">
        <v>46</v>
      </c>
      <c r="Q3" s="8" t="s">
        <v>5</v>
      </c>
      <c r="R3" s="61" t="s">
        <v>47</v>
      </c>
      <c r="S3" s="46" t="s">
        <v>56</v>
      </c>
      <c r="T3" s="1">
        <v>0.14100000000000001</v>
      </c>
      <c r="U3" s="20">
        <v>0.20879116360612582</v>
      </c>
      <c r="V3" s="20">
        <v>4.3593750000000001E-2</v>
      </c>
      <c r="W3" s="8">
        <v>-0.01</v>
      </c>
      <c r="X3" s="20">
        <v>2.2801000000000005E-2</v>
      </c>
    </row>
    <row r="4" spans="1:24">
      <c r="A4" s="1" t="s">
        <v>213</v>
      </c>
      <c r="B4" s="46" t="s">
        <v>235</v>
      </c>
      <c r="C4" s="46" t="s">
        <v>46</v>
      </c>
      <c r="D4" s="8" t="s">
        <v>7</v>
      </c>
      <c r="E4" s="46" t="s">
        <v>48</v>
      </c>
      <c r="F4" s="46" t="s">
        <v>57</v>
      </c>
      <c r="G4" s="1">
        <f>(All!K4+'Untruncated- All'!K4)/2</f>
        <v>-0.24300000000000033</v>
      </c>
      <c r="H4" s="20">
        <f>SQRT(0.25*((All!L4)^2 + ('Untruncated- All'!L4)^2))</f>
        <v>0.18681073309636145</v>
      </c>
      <c r="I4" s="20">
        <f t="shared" ref="I4:I60" si="0">H4^2</f>
        <v>3.4898249999999999E-2</v>
      </c>
      <c r="J4" s="8">
        <v>0.7</v>
      </c>
      <c r="K4" s="20">
        <f t="shared" ref="K4:K60" si="1">(G4-J4)^2</f>
        <v>0.88924900000000051</v>
      </c>
      <c r="N4" s="1" t="s">
        <v>213</v>
      </c>
      <c r="O4" s="46" t="s">
        <v>235</v>
      </c>
      <c r="P4" s="46" t="s">
        <v>46</v>
      </c>
      <c r="Q4" s="8" t="s">
        <v>7</v>
      </c>
      <c r="R4" s="61" t="s">
        <v>48</v>
      </c>
      <c r="S4" s="46" t="s">
        <v>57</v>
      </c>
      <c r="T4" s="1">
        <v>-0.24300000000000033</v>
      </c>
      <c r="U4" s="20">
        <v>0.18681073309636145</v>
      </c>
      <c r="V4" s="20">
        <v>3.4898249999999999E-2</v>
      </c>
      <c r="W4" s="8">
        <v>0.7</v>
      </c>
      <c r="X4" s="20">
        <v>0.88924900000000051</v>
      </c>
    </row>
    <row r="5" spans="1:24">
      <c r="A5" s="1" t="s">
        <v>213</v>
      </c>
      <c r="B5" s="20" t="s">
        <v>101</v>
      </c>
      <c r="C5" s="46" t="s">
        <v>46</v>
      </c>
      <c r="D5" s="8" t="s">
        <v>9</v>
      </c>
      <c r="E5" s="53" t="s">
        <v>83</v>
      </c>
      <c r="F5" s="20" t="s">
        <v>89</v>
      </c>
      <c r="G5" s="1">
        <f>(All!K5+'Untruncated- All'!K5)/2</f>
        <v>3.4664999999999999</v>
      </c>
      <c r="H5" s="20">
        <f>SQRT(0.25*((All!L5)^2 + ('Untruncated- All'!L5)^2))</f>
        <v>0.33349550221854568</v>
      </c>
      <c r="I5" s="20">
        <f t="shared" si="0"/>
        <v>0.11121925000000001</v>
      </c>
      <c r="J5" s="8">
        <v>1.19</v>
      </c>
      <c r="K5" s="20">
        <f t="shared" si="1"/>
        <v>5.1824522499999999</v>
      </c>
      <c r="N5" s="1" t="s">
        <v>213</v>
      </c>
      <c r="O5" s="20" t="s">
        <v>101</v>
      </c>
      <c r="P5" s="46" t="s">
        <v>46</v>
      </c>
      <c r="Q5" s="8" t="s">
        <v>9</v>
      </c>
      <c r="R5" s="51" t="s">
        <v>83</v>
      </c>
      <c r="S5" s="20" t="s">
        <v>89</v>
      </c>
      <c r="T5" s="1">
        <v>3.4664999999999999</v>
      </c>
      <c r="U5" s="20">
        <v>0.33349550221854568</v>
      </c>
      <c r="V5" s="20">
        <v>0.11121925000000001</v>
      </c>
      <c r="W5" s="8">
        <v>1.19</v>
      </c>
      <c r="X5" s="20">
        <v>5.1824522499999999</v>
      </c>
    </row>
    <row r="6" spans="1:24">
      <c r="A6" s="1" t="s">
        <v>213</v>
      </c>
      <c r="B6" s="20" t="s">
        <v>101</v>
      </c>
      <c r="C6" s="46" t="s">
        <v>46</v>
      </c>
      <c r="D6" s="8" t="s">
        <v>11</v>
      </c>
      <c r="E6" s="53" t="s">
        <v>84</v>
      </c>
      <c r="F6" s="20" t="s">
        <v>90</v>
      </c>
      <c r="G6" s="1">
        <f>(All!K6+'Untruncated- All'!K6)/2</f>
        <v>0.77500000000000213</v>
      </c>
      <c r="H6" s="20">
        <f>SQRT(0.25*((All!L6)^2 + ('Untruncated- All'!L6)^2))</f>
        <v>0.25949662810911439</v>
      </c>
      <c r="I6" s="20">
        <f t="shared" si="0"/>
        <v>6.7338500000000023E-2</v>
      </c>
      <c r="J6" s="8">
        <v>1.28</v>
      </c>
      <c r="K6" s="20">
        <f t="shared" si="1"/>
        <v>0.25502499999999789</v>
      </c>
      <c r="N6" s="1" t="s">
        <v>213</v>
      </c>
      <c r="O6" s="20" t="s">
        <v>101</v>
      </c>
      <c r="P6" s="46" t="s">
        <v>46</v>
      </c>
      <c r="Q6" s="8" t="s">
        <v>11</v>
      </c>
      <c r="R6" s="51" t="s">
        <v>84</v>
      </c>
      <c r="S6" s="20" t="s">
        <v>90</v>
      </c>
      <c r="T6" s="1">
        <v>0.77500000000000213</v>
      </c>
      <c r="U6" s="20">
        <v>0.25949662810911439</v>
      </c>
      <c r="V6" s="20">
        <v>6.7338500000000023E-2</v>
      </c>
      <c r="W6" s="8">
        <v>1.28</v>
      </c>
      <c r="X6" s="20">
        <v>0.25502499999999789</v>
      </c>
    </row>
    <row r="7" spans="1:24">
      <c r="A7" s="1" t="s">
        <v>213</v>
      </c>
      <c r="B7" s="20" t="s">
        <v>82</v>
      </c>
      <c r="C7" s="46" t="s">
        <v>46</v>
      </c>
      <c r="D7" s="8" t="s">
        <v>13</v>
      </c>
      <c r="E7" s="55" t="s">
        <v>49</v>
      </c>
      <c r="F7" s="20" t="s">
        <v>58</v>
      </c>
      <c r="G7" s="1">
        <f>(All!K7+'Untruncated- All'!K7)/2</f>
        <v>0.61449999999999871</v>
      </c>
      <c r="H7" s="20">
        <f>SQRT(0.25*((All!L7)^2 + ('Untruncated- All'!L7)^2))</f>
        <v>0.1322563798083102</v>
      </c>
      <c r="I7" s="20">
        <f t="shared" si="0"/>
        <v>1.7491750000000004E-2</v>
      </c>
      <c r="J7" s="8">
        <v>-1.28</v>
      </c>
      <c r="K7" s="20">
        <f t="shared" si="1"/>
        <v>3.5891302499999953</v>
      </c>
      <c r="N7" s="1" t="s">
        <v>213</v>
      </c>
      <c r="O7" s="20" t="s">
        <v>82</v>
      </c>
      <c r="P7" s="46" t="s">
        <v>46</v>
      </c>
      <c r="Q7" s="8" t="s">
        <v>13</v>
      </c>
      <c r="R7" s="54" t="s">
        <v>49</v>
      </c>
      <c r="S7" s="20" t="s">
        <v>58</v>
      </c>
      <c r="T7" s="1">
        <v>0.61449999999999871</v>
      </c>
      <c r="U7" s="20">
        <v>0.1322563798083102</v>
      </c>
      <c r="V7" s="20">
        <v>1.7491750000000004E-2</v>
      </c>
      <c r="W7" s="8">
        <v>-1.28</v>
      </c>
      <c r="X7" s="20">
        <v>3.5891302499999953</v>
      </c>
    </row>
    <row r="8" spans="1:24">
      <c r="A8" s="1" t="s">
        <v>213</v>
      </c>
      <c r="B8" s="46" t="s">
        <v>82</v>
      </c>
      <c r="C8" s="46" t="s">
        <v>46</v>
      </c>
      <c r="D8" s="8" t="s">
        <v>15</v>
      </c>
      <c r="E8" s="46" t="s">
        <v>50</v>
      </c>
      <c r="F8" s="46" t="s">
        <v>59</v>
      </c>
      <c r="G8" s="1">
        <f>(All!K8+'Untruncated- All'!K8)/2</f>
        <v>1.6435000000000004</v>
      </c>
      <c r="H8" s="20">
        <f>SQRT(0.25*((All!L8)^2 + ('Untruncated- All'!L8)^2))</f>
        <v>0.19274789233607717</v>
      </c>
      <c r="I8" s="20">
        <f t="shared" si="0"/>
        <v>3.7151749999999997E-2</v>
      </c>
      <c r="J8" s="8">
        <v>1.26</v>
      </c>
      <c r="K8" s="20">
        <f t="shared" si="1"/>
        <v>0.14707225000000029</v>
      </c>
      <c r="N8" s="1" t="s">
        <v>213</v>
      </c>
      <c r="O8" s="46" t="s">
        <v>82</v>
      </c>
      <c r="P8" s="46" t="s">
        <v>46</v>
      </c>
      <c r="Q8" s="8" t="s">
        <v>15</v>
      </c>
      <c r="R8" s="61" t="s">
        <v>50</v>
      </c>
      <c r="S8" s="46" t="s">
        <v>59</v>
      </c>
      <c r="T8" s="1">
        <v>1.6435000000000004</v>
      </c>
      <c r="U8" s="20">
        <v>0.19274789233607717</v>
      </c>
      <c r="V8" s="20">
        <v>3.7151749999999997E-2</v>
      </c>
      <c r="W8" s="8">
        <v>1.26</v>
      </c>
      <c r="X8" s="20">
        <v>0.14707225000000029</v>
      </c>
    </row>
    <row r="9" spans="1:24">
      <c r="A9" s="1" t="s">
        <v>213</v>
      </c>
      <c r="B9" s="46" t="s">
        <v>82</v>
      </c>
      <c r="C9" s="46" t="s">
        <v>46</v>
      </c>
      <c r="D9" s="8" t="s">
        <v>16</v>
      </c>
      <c r="E9" s="46" t="s">
        <v>51</v>
      </c>
      <c r="F9" s="46" t="s">
        <v>60</v>
      </c>
      <c r="G9" s="1">
        <f>(All!K9+'Untruncated- All'!K9)/2</f>
        <v>0.6745000000000001</v>
      </c>
      <c r="H9" s="20">
        <f>SQRT(0.25*((All!L9)^2 + ('Untruncated- All'!L9)^2))</f>
        <v>0.13830039768561767</v>
      </c>
      <c r="I9" s="20">
        <f t="shared" si="0"/>
        <v>1.9127000000000002E-2</v>
      </c>
      <c r="J9" s="8">
        <v>1.35</v>
      </c>
      <c r="K9" s="20">
        <f t="shared" si="1"/>
        <v>0.45630024999999996</v>
      </c>
      <c r="N9" s="1" t="s">
        <v>213</v>
      </c>
      <c r="O9" s="46" t="s">
        <v>82</v>
      </c>
      <c r="P9" s="46" t="s">
        <v>46</v>
      </c>
      <c r="Q9" s="8" t="s">
        <v>16</v>
      </c>
      <c r="R9" s="61" t="s">
        <v>51</v>
      </c>
      <c r="S9" s="46" t="s">
        <v>60</v>
      </c>
      <c r="T9" s="1">
        <v>0.6745000000000001</v>
      </c>
      <c r="U9" s="20">
        <v>0.13830039768561767</v>
      </c>
      <c r="V9" s="20">
        <v>1.9127000000000002E-2</v>
      </c>
      <c r="W9" s="8">
        <v>1.35</v>
      </c>
      <c r="X9" s="20">
        <v>0.45630024999999996</v>
      </c>
    </row>
    <row r="10" spans="1:24">
      <c r="A10" s="1" t="s">
        <v>213</v>
      </c>
      <c r="B10" s="46" t="s">
        <v>82</v>
      </c>
      <c r="C10" s="46" t="s">
        <v>46</v>
      </c>
      <c r="D10" s="8" t="s">
        <v>17</v>
      </c>
      <c r="E10" s="46" t="s">
        <v>52</v>
      </c>
      <c r="F10" s="46" t="s">
        <v>61</v>
      </c>
      <c r="G10" s="1">
        <f>(All!K10+'Untruncated- All'!K10)/2</f>
        <v>0.53900000000000148</v>
      </c>
      <c r="H10" s="20">
        <f>SQRT(0.25*((All!L10)^2 + ('Untruncated- All'!L10)^2))</f>
        <v>0.26345303186716224</v>
      </c>
      <c r="I10" s="20">
        <f t="shared" si="0"/>
        <v>6.9407499999999997E-2</v>
      </c>
      <c r="J10" s="8">
        <v>1.76</v>
      </c>
      <c r="K10" s="20">
        <f t="shared" si="1"/>
        <v>1.4908409999999963</v>
      </c>
      <c r="N10" s="1" t="s">
        <v>213</v>
      </c>
      <c r="O10" s="46" t="s">
        <v>82</v>
      </c>
      <c r="P10" s="46" t="s">
        <v>46</v>
      </c>
      <c r="Q10" s="8" t="s">
        <v>17</v>
      </c>
      <c r="R10" s="61" t="s">
        <v>52</v>
      </c>
      <c r="S10" s="46" t="s">
        <v>61</v>
      </c>
      <c r="T10" s="1">
        <v>0.53900000000000148</v>
      </c>
      <c r="U10" s="20">
        <v>0.26345303186716224</v>
      </c>
      <c r="V10" s="20">
        <v>6.9407499999999997E-2</v>
      </c>
      <c r="W10" s="8">
        <v>1.76</v>
      </c>
      <c r="X10" s="20">
        <v>1.4908409999999963</v>
      </c>
    </row>
    <row r="11" spans="1:24">
      <c r="A11" s="1" t="s">
        <v>213</v>
      </c>
      <c r="B11" s="20" t="s">
        <v>82</v>
      </c>
      <c r="C11" s="46" t="s">
        <v>46</v>
      </c>
      <c r="D11" s="8" t="s">
        <v>18</v>
      </c>
      <c r="E11" s="55" t="s">
        <v>85</v>
      </c>
      <c r="F11" s="20" t="s">
        <v>91</v>
      </c>
      <c r="G11" s="1">
        <f>(All!K11+'Untruncated- All'!K11)/2</f>
        <v>0.23999999999999977</v>
      </c>
      <c r="H11" s="20">
        <f>SQRT(0.25*((All!L11)^2 + ('Untruncated- All'!L11)^2))</f>
        <v>0.25511272018462744</v>
      </c>
      <c r="I11" s="20">
        <f t="shared" si="0"/>
        <v>6.5082500000000015E-2</v>
      </c>
      <c r="J11" s="8">
        <v>0.54</v>
      </c>
      <c r="K11" s="20">
        <f t="shared" si="1"/>
        <v>9.0000000000000163E-2</v>
      </c>
      <c r="N11" s="1" t="s">
        <v>213</v>
      </c>
      <c r="O11" s="20" t="s">
        <v>82</v>
      </c>
      <c r="P11" s="46" t="s">
        <v>46</v>
      </c>
      <c r="Q11" s="8" t="s">
        <v>18</v>
      </c>
      <c r="R11" s="54" t="s">
        <v>85</v>
      </c>
      <c r="S11" s="20" t="s">
        <v>91</v>
      </c>
      <c r="T11" s="1">
        <v>0.23999999999999977</v>
      </c>
      <c r="U11" s="20">
        <v>0.25511272018462744</v>
      </c>
      <c r="V11" s="20">
        <v>6.5082500000000015E-2</v>
      </c>
      <c r="W11" s="8">
        <v>0.54</v>
      </c>
      <c r="X11" s="20">
        <v>9.0000000000000163E-2</v>
      </c>
    </row>
    <row r="12" spans="1:24">
      <c r="A12" s="1" t="s">
        <v>213</v>
      </c>
      <c r="B12" s="46" t="s">
        <v>82</v>
      </c>
      <c r="C12" s="46" t="s">
        <v>46</v>
      </c>
      <c r="D12" s="8" t="s">
        <v>20</v>
      </c>
      <c r="E12" s="46" t="s">
        <v>53</v>
      </c>
      <c r="F12" s="46" t="s">
        <v>62</v>
      </c>
      <c r="G12" s="1">
        <f>(All!K12+'Untruncated- All'!K12)/2</f>
        <v>0.81149999999999878</v>
      </c>
      <c r="H12" s="20">
        <f>SQRT(0.25*((All!L12)^2 + ('Untruncated- All'!L12)^2))</f>
        <v>0.12161106035225577</v>
      </c>
      <c r="I12" s="20">
        <f t="shared" si="0"/>
        <v>1.4789249999999997E-2</v>
      </c>
      <c r="J12" s="8">
        <v>-0.35</v>
      </c>
      <c r="K12" s="20">
        <f t="shared" si="1"/>
        <v>1.3490822499999973</v>
      </c>
      <c r="N12" s="1" t="s">
        <v>213</v>
      </c>
      <c r="O12" s="46" t="s">
        <v>82</v>
      </c>
      <c r="P12" s="46" t="s">
        <v>46</v>
      </c>
      <c r="Q12" s="8" t="s">
        <v>20</v>
      </c>
      <c r="R12" s="61" t="s">
        <v>53</v>
      </c>
      <c r="S12" s="46" t="s">
        <v>62</v>
      </c>
      <c r="T12" s="1">
        <v>0.81149999999999878</v>
      </c>
      <c r="U12" s="20">
        <v>0.12161106035225577</v>
      </c>
      <c r="V12" s="20">
        <v>1.4789249999999997E-2</v>
      </c>
      <c r="W12" s="8">
        <v>-0.35</v>
      </c>
      <c r="X12" s="20">
        <v>1.3490822499999973</v>
      </c>
    </row>
    <row r="13" spans="1:24">
      <c r="A13" s="1" t="s">
        <v>213</v>
      </c>
      <c r="B13" s="46" t="s">
        <v>82</v>
      </c>
      <c r="C13" s="46" t="s">
        <v>46</v>
      </c>
      <c r="D13" s="8" t="s">
        <v>22</v>
      </c>
      <c r="E13" s="46" t="s">
        <v>54</v>
      </c>
      <c r="F13" s="46" t="s">
        <v>63</v>
      </c>
      <c r="G13" s="1">
        <f>(All!K13+'Untruncated- All'!K13)/2</f>
        <v>-4.5500000000000096E-2</v>
      </c>
      <c r="H13" s="20">
        <f>SQRT(0.25*((All!L13)^2 + ('Untruncated- All'!L13)^2))</f>
        <v>0.12615466697669175</v>
      </c>
      <c r="I13" s="20">
        <f t="shared" si="0"/>
        <v>1.5915000000000002E-2</v>
      </c>
      <c r="J13" s="8">
        <v>0.52</v>
      </c>
      <c r="K13" s="20">
        <f t="shared" si="1"/>
        <v>0.31979025000000011</v>
      </c>
      <c r="N13" s="1" t="s">
        <v>213</v>
      </c>
      <c r="O13" s="46" t="s">
        <v>82</v>
      </c>
      <c r="P13" s="46" t="s">
        <v>46</v>
      </c>
      <c r="Q13" s="8" t="s">
        <v>22</v>
      </c>
      <c r="R13" s="61" t="s">
        <v>54</v>
      </c>
      <c r="S13" s="46" t="s">
        <v>63</v>
      </c>
      <c r="T13" s="1">
        <v>-4.5500000000000096E-2</v>
      </c>
      <c r="U13" s="20">
        <v>0.12615466697669175</v>
      </c>
      <c r="V13" s="20">
        <v>1.5915000000000002E-2</v>
      </c>
      <c r="W13" s="8">
        <v>0.52</v>
      </c>
      <c r="X13" s="20">
        <v>0.31979025000000011</v>
      </c>
    </row>
    <row r="14" spans="1:24">
      <c r="A14" s="1" t="s">
        <v>213</v>
      </c>
      <c r="B14" s="46" t="s">
        <v>82</v>
      </c>
      <c r="C14" s="46" t="s">
        <v>46</v>
      </c>
      <c r="D14" s="8" t="s">
        <v>23</v>
      </c>
      <c r="E14" s="46" t="s">
        <v>55</v>
      </c>
      <c r="F14" s="46" t="s">
        <v>64</v>
      </c>
      <c r="G14" s="1">
        <f>(All!K14+'Untruncated- All'!K14)/2</f>
        <v>0.19649999999999945</v>
      </c>
      <c r="H14" s="20">
        <f>SQRT(0.25*((All!L14)^2 + ('Untruncated- All'!L14)^2))</f>
        <v>0.19120473320501247</v>
      </c>
      <c r="I14" s="20">
        <f t="shared" si="0"/>
        <v>3.6559249999999995E-2</v>
      </c>
      <c r="J14" s="8">
        <v>1.08</v>
      </c>
      <c r="K14" s="20">
        <f t="shared" si="1"/>
        <v>0.78057225000000108</v>
      </c>
      <c r="N14" s="1" t="s">
        <v>213</v>
      </c>
      <c r="O14" s="46" t="s">
        <v>82</v>
      </c>
      <c r="P14" s="46" t="s">
        <v>46</v>
      </c>
      <c r="Q14" s="8" t="s">
        <v>23</v>
      </c>
      <c r="R14" s="61" t="s">
        <v>55</v>
      </c>
      <c r="S14" s="46" t="s">
        <v>64</v>
      </c>
      <c r="T14" s="1">
        <v>0.19649999999999945</v>
      </c>
      <c r="U14" s="20">
        <v>0.19120473320501247</v>
      </c>
      <c r="V14" s="20">
        <v>3.6559249999999995E-2</v>
      </c>
      <c r="W14" s="8">
        <v>1.08</v>
      </c>
      <c r="X14" s="20">
        <v>0.78057225000000108</v>
      </c>
    </row>
    <row r="15" spans="1:24">
      <c r="A15" s="1" t="s">
        <v>213</v>
      </c>
      <c r="B15" s="20" t="s">
        <v>101</v>
      </c>
      <c r="C15" s="46" t="s">
        <v>46</v>
      </c>
      <c r="D15" s="42" t="s">
        <v>24</v>
      </c>
      <c r="E15" s="53" t="s">
        <v>86</v>
      </c>
      <c r="F15" s="20" t="s">
        <v>92</v>
      </c>
      <c r="G15" s="1">
        <f>(All!K15+'Untruncated- All'!K15)/2</f>
        <v>-0.13749999999999929</v>
      </c>
      <c r="H15" s="20">
        <f>SQRT(0.25*((All!L15)^2 + ('Untruncated- All'!L15)^2))</f>
        <v>0.18139666479844663</v>
      </c>
      <c r="I15" s="20">
        <f t="shared" si="0"/>
        <v>3.2904750000000003E-2</v>
      </c>
      <c r="J15" s="8">
        <v>1.42</v>
      </c>
      <c r="K15" s="20">
        <f t="shared" si="1"/>
        <v>2.4258062499999977</v>
      </c>
      <c r="N15" s="60" t="s">
        <v>213</v>
      </c>
      <c r="O15" s="60" t="s">
        <v>82</v>
      </c>
      <c r="P15" s="60" t="s">
        <v>46</v>
      </c>
      <c r="Q15" s="16" t="s">
        <v>27</v>
      </c>
      <c r="R15" s="16" t="s">
        <v>28</v>
      </c>
      <c r="S15" s="60" t="s">
        <v>65</v>
      </c>
      <c r="T15" s="62">
        <v>0.41699999999999982</v>
      </c>
      <c r="U15" s="62">
        <v>9.2590495886800378E-2</v>
      </c>
      <c r="V15" s="62">
        <v>8.5729999285635971E-3</v>
      </c>
      <c r="W15" s="62">
        <v>-0.21</v>
      </c>
      <c r="X15" s="62">
        <v>0.39312899999999973</v>
      </c>
    </row>
    <row r="16" spans="1:24">
      <c r="A16" s="1" t="s">
        <v>213</v>
      </c>
      <c r="B16" s="46" t="s">
        <v>82</v>
      </c>
      <c r="C16" s="46" t="s">
        <v>46</v>
      </c>
      <c r="D16" s="8" t="s">
        <v>27</v>
      </c>
      <c r="E16" s="46" t="s">
        <v>28</v>
      </c>
      <c r="F16" s="46" t="s">
        <v>65</v>
      </c>
      <c r="G16" s="1">
        <f>(All!K16+'Untruncated- All'!K16)/2</f>
        <v>0.41699999999999982</v>
      </c>
      <c r="H16" s="20">
        <f>SQRT(0.25*((All!L16)^2 + ('Untruncated- All'!L16)^2))</f>
        <v>9.2590495886800378E-2</v>
      </c>
      <c r="I16" s="20">
        <f t="shared" si="0"/>
        <v>8.5729999285635971E-3</v>
      </c>
      <c r="J16" s="50">
        <v>-0.21</v>
      </c>
      <c r="K16" s="20">
        <f t="shared" si="1"/>
        <v>0.39312899999999973</v>
      </c>
      <c r="N16" s="60" t="s">
        <v>213</v>
      </c>
      <c r="O16" s="60" t="s">
        <v>235</v>
      </c>
      <c r="P16" s="60" t="s">
        <v>46</v>
      </c>
      <c r="Q16" s="16" t="s">
        <v>25</v>
      </c>
      <c r="R16" s="16" t="s">
        <v>87</v>
      </c>
      <c r="S16" s="60" t="s">
        <v>93</v>
      </c>
      <c r="T16" s="62">
        <v>1.5409999999999968</v>
      </c>
      <c r="U16" s="62">
        <v>0.22872800440698118</v>
      </c>
      <c r="V16" s="62">
        <v>5.2316500000000002E-2</v>
      </c>
      <c r="W16" s="62">
        <v>1.1100000000000001</v>
      </c>
      <c r="X16" s="62">
        <v>0.18576099999999718</v>
      </c>
    </row>
    <row r="17" spans="1:24">
      <c r="A17" s="1" t="s">
        <v>213</v>
      </c>
      <c r="B17" s="46" t="s">
        <v>235</v>
      </c>
      <c r="C17" s="46" t="s">
        <v>46</v>
      </c>
      <c r="D17" s="8" t="s">
        <v>25</v>
      </c>
      <c r="E17" s="46" t="s">
        <v>87</v>
      </c>
      <c r="F17" s="46" t="s">
        <v>93</v>
      </c>
      <c r="G17" s="1">
        <f>(All!K17+'Untruncated- All'!K17)/2</f>
        <v>1.5409999999999968</v>
      </c>
      <c r="H17" s="20">
        <f>SQRT(0.25*((All!L17)^2 + ('Untruncated- All'!L17)^2))</f>
        <v>0.22872800440698118</v>
      </c>
      <c r="I17" s="20">
        <f t="shared" si="0"/>
        <v>5.2316500000000002E-2</v>
      </c>
      <c r="J17" s="8">
        <v>1.1100000000000001</v>
      </c>
      <c r="K17" s="20">
        <f t="shared" si="1"/>
        <v>0.18576099999999718</v>
      </c>
      <c r="N17" s="60" t="s">
        <v>213</v>
      </c>
      <c r="O17" s="60" t="s">
        <v>101</v>
      </c>
      <c r="P17" s="60" t="s">
        <v>46</v>
      </c>
      <c r="Q17" s="16" t="s">
        <v>26</v>
      </c>
      <c r="R17" s="16" t="s">
        <v>88</v>
      </c>
      <c r="S17" s="60" t="s">
        <v>94</v>
      </c>
      <c r="T17" s="62">
        <v>4.5094999999999956</v>
      </c>
      <c r="U17" s="62">
        <v>0.29271957570343671</v>
      </c>
      <c r="V17" s="62">
        <v>8.5684750000000018E-2</v>
      </c>
      <c r="W17" s="62">
        <v>4.45</v>
      </c>
      <c r="X17" s="62">
        <v>3.5402499999994579E-3</v>
      </c>
    </row>
    <row r="18" spans="1:24">
      <c r="A18" s="1" t="s">
        <v>213</v>
      </c>
      <c r="B18" s="20" t="s">
        <v>101</v>
      </c>
      <c r="C18" s="46" t="s">
        <v>46</v>
      </c>
      <c r="D18" s="8" t="s">
        <v>26</v>
      </c>
      <c r="E18" s="55" t="s">
        <v>88</v>
      </c>
      <c r="F18" s="20" t="s">
        <v>94</v>
      </c>
      <c r="G18" s="1">
        <f>(All!K18+'Untruncated- All'!K18)/2</f>
        <v>4.5094999999999956</v>
      </c>
      <c r="H18" s="20">
        <f>SQRT(0.25*((All!L18)^2 + ('Untruncated- All'!L18)^2))</f>
        <v>0.29271957570343671</v>
      </c>
      <c r="I18" s="20">
        <f t="shared" si="0"/>
        <v>8.5684750000000018E-2</v>
      </c>
      <c r="J18" s="8">
        <v>4.45</v>
      </c>
      <c r="K18" s="20">
        <f t="shared" si="1"/>
        <v>3.5402499999994579E-3</v>
      </c>
      <c r="N18" s="60" t="s">
        <v>213</v>
      </c>
      <c r="O18" s="60" t="s">
        <v>82</v>
      </c>
      <c r="P18" s="60" t="s">
        <v>70</v>
      </c>
      <c r="Q18" s="16" t="s">
        <v>4</v>
      </c>
      <c r="R18" s="16">
        <v>547</v>
      </c>
      <c r="S18" s="60" t="s">
        <v>229</v>
      </c>
      <c r="T18" s="62">
        <v>0.10299999999999798</v>
      </c>
      <c r="U18" s="62">
        <v>0.11273530946424905</v>
      </c>
      <c r="V18" s="62">
        <v>1.270925E-2</v>
      </c>
      <c r="W18" s="62">
        <v>-0.24</v>
      </c>
      <c r="X18" s="62">
        <v>0.11764899999999862</v>
      </c>
    </row>
    <row r="19" spans="1:24">
      <c r="A19" s="1" t="s">
        <v>213</v>
      </c>
      <c r="B19" s="46" t="s">
        <v>82</v>
      </c>
      <c r="C19" s="46" t="s">
        <v>70</v>
      </c>
      <c r="D19" s="8" t="s">
        <v>4</v>
      </c>
      <c r="E19" s="51">
        <v>547</v>
      </c>
      <c r="F19" s="44" t="s">
        <v>229</v>
      </c>
      <c r="G19" s="1">
        <f>(All!K19+'Untruncated- All'!K19)/2</f>
        <v>0.10299999999999798</v>
      </c>
      <c r="H19" s="20">
        <f>SQRT(0.25*((All!L19)^2 + ('Untruncated- All'!L19)^2))</f>
        <v>0.11273530946424905</v>
      </c>
      <c r="I19" s="20">
        <f t="shared" si="0"/>
        <v>1.270925E-2</v>
      </c>
      <c r="J19" s="8">
        <v>-0.24</v>
      </c>
      <c r="K19" s="20">
        <f t="shared" si="1"/>
        <v>0.11764899999999862</v>
      </c>
      <c r="N19" s="1" t="s">
        <v>213</v>
      </c>
      <c r="O19" s="1" t="s">
        <v>82</v>
      </c>
      <c r="P19" s="1" t="s">
        <v>70</v>
      </c>
      <c r="Q19" s="16" t="s">
        <v>12</v>
      </c>
      <c r="R19" s="16">
        <v>611</v>
      </c>
      <c r="S19" s="1" t="s">
        <v>105</v>
      </c>
      <c r="T19" s="20">
        <v>-0.29649999999999999</v>
      </c>
      <c r="U19" s="20">
        <v>0.19036149820801473</v>
      </c>
      <c r="V19" s="20">
        <v>3.6237499999999999E-2</v>
      </c>
      <c r="W19" s="20">
        <v>0.85</v>
      </c>
      <c r="X19" s="20">
        <v>1.3144622500000003</v>
      </c>
    </row>
    <row r="20" spans="1:24">
      <c r="A20" s="1" t="s">
        <v>213</v>
      </c>
      <c r="B20" s="46" t="s">
        <v>101</v>
      </c>
      <c r="C20" s="46" t="s">
        <v>70</v>
      </c>
      <c r="D20" s="42" t="s">
        <v>6</v>
      </c>
      <c r="E20" s="51">
        <v>548</v>
      </c>
      <c r="F20" s="44" t="s">
        <v>231</v>
      </c>
      <c r="G20" s="1">
        <f>(All!K20+'Untruncated- All'!K20)/2</f>
        <v>-0.28350000000000009</v>
      </c>
      <c r="H20" s="20">
        <f>SQRT(0.25*((All!L20)^2 + ('Untruncated- All'!L20)^2))</f>
        <v>7.6803320240729181E-2</v>
      </c>
      <c r="I20" s="20">
        <f t="shared" si="0"/>
        <v>5.8987500000000003E-3</v>
      </c>
      <c r="J20" s="8">
        <v>0.97</v>
      </c>
      <c r="K20" s="20">
        <f t="shared" si="1"/>
        <v>1.5712622500000002</v>
      </c>
      <c r="N20" s="1" t="s">
        <v>213</v>
      </c>
      <c r="O20" s="1" t="s">
        <v>82</v>
      </c>
      <c r="P20" s="1" t="s">
        <v>70</v>
      </c>
      <c r="Q20" s="16" t="s">
        <v>14</v>
      </c>
      <c r="R20" s="16">
        <v>523</v>
      </c>
      <c r="S20" s="1" t="s">
        <v>227</v>
      </c>
      <c r="T20" s="20">
        <v>-0.81899999999999995</v>
      </c>
      <c r="U20" s="20">
        <v>0.18256711094827568</v>
      </c>
      <c r="V20" s="20">
        <v>3.3330750000000006E-2</v>
      </c>
      <c r="W20" s="20">
        <v>-0.78</v>
      </c>
      <c r="X20" s="20">
        <v>1.5209999999999941E-3</v>
      </c>
    </row>
    <row r="21" spans="1:24">
      <c r="A21" s="1" t="s">
        <v>213</v>
      </c>
      <c r="B21" s="46" t="s">
        <v>101</v>
      </c>
      <c r="C21" s="46" t="s">
        <v>70</v>
      </c>
      <c r="D21" s="42" t="s">
        <v>8</v>
      </c>
      <c r="E21" s="51">
        <v>550</v>
      </c>
      <c r="F21" s="44" t="s">
        <v>76</v>
      </c>
      <c r="G21" s="1">
        <f>(All!K21+'Untruncated- All'!K21)/2</f>
        <v>-0.13900000000000112</v>
      </c>
      <c r="H21" s="20">
        <f>SQRT(0.25*((All!L21)^2 + ('Untruncated- All'!L21)^2))</f>
        <v>6.962219473702333E-2</v>
      </c>
      <c r="I21" s="20">
        <f t="shared" si="0"/>
        <v>4.8472499999999991E-3</v>
      </c>
      <c r="J21" s="8">
        <v>-0.15</v>
      </c>
      <c r="K21" s="20">
        <f t="shared" si="1"/>
        <v>1.2099999999997519E-4</v>
      </c>
      <c r="N21" s="1" t="s">
        <v>214</v>
      </c>
      <c r="O21" s="1" t="s">
        <v>101</v>
      </c>
      <c r="P21" s="1" t="s">
        <v>46</v>
      </c>
      <c r="Q21" s="16" t="s">
        <v>11</v>
      </c>
      <c r="R21" s="16" t="s">
        <v>84</v>
      </c>
      <c r="S21" s="1" t="s">
        <v>90</v>
      </c>
      <c r="T21" s="20">
        <v>1.2460000000000022</v>
      </c>
      <c r="U21" s="20">
        <v>0.25723432896874399</v>
      </c>
      <c r="V21" s="20">
        <v>6.6169500000000006E-2</v>
      </c>
      <c r="W21" s="20">
        <v>1.33</v>
      </c>
      <c r="X21" s="20">
        <v>7.0559999999996398E-3</v>
      </c>
    </row>
    <row r="22" spans="1:24">
      <c r="A22" s="1" t="s">
        <v>213</v>
      </c>
      <c r="B22" s="46" t="s">
        <v>101</v>
      </c>
      <c r="C22" s="46" t="s">
        <v>70</v>
      </c>
      <c r="D22" s="42" t="s">
        <v>10</v>
      </c>
      <c r="E22" s="51">
        <v>609</v>
      </c>
      <c r="F22" s="44" t="s">
        <v>241</v>
      </c>
      <c r="G22" s="1">
        <f>(All!K22+'Untruncated- All'!K22)/2</f>
        <v>2.5424999999999995</v>
      </c>
      <c r="H22" s="20">
        <f>SQRT(0.25*((All!L22)^2 + ('Untruncated- All'!L22)^2))</f>
        <v>0.2603483243656467</v>
      </c>
      <c r="I22" s="20">
        <f t="shared" si="0"/>
        <v>6.7781249999999987E-2</v>
      </c>
      <c r="J22" s="8">
        <v>2.0099999999999998</v>
      </c>
      <c r="K22" s="20">
        <f t="shared" si="1"/>
        <v>0.28355624999999973</v>
      </c>
      <c r="N22" s="1" t="s">
        <v>214</v>
      </c>
      <c r="O22" s="1" t="s">
        <v>235</v>
      </c>
      <c r="P22" s="1" t="s">
        <v>46</v>
      </c>
      <c r="Q22" s="16" t="s">
        <v>121</v>
      </c>
      <c r="R22" s="16" t="s">
        <v>122</v>
      </c>
      <c r="S22" s="1" t="s">
        <v>140</v>
      </c>
      <c r="T22" s="20">
        <v>-0.5950000000000002</v>
      </c>
      <c r="U22" s="20">
        <v>0.28245840401729949</v>
      </c>
      <c r="V22" s="20">
        <v>7.9782749999999986E-2</v>
      </c>
      <c r="W22" s="20">
        <v>0.05</v>
      </c>
      <c r="X22" s="20">
        <v>0.41602500000000031</v>
      </c>
    </row>
    <row r="23" spans="1:24">
      <c r="A23" s="1" t="s">
        <v>213</v>
      </c>
      <c r="B23" s="46" t="s">
        <v>82</v>
      </c>
      <c r="C23" s="46" t="s">
        <v>70</v>
      </c>
      <c r="D23" s="8" t="s">
        <v>12</v>
      </c>
      <c r="E23" s="51">
        <v>611</v>
      </c>
      <c r="F23" s="20" t="s">
        <v>105</v>
      </c>
      <c r="G23" s="1">
        <f>(All!K23+'Untruncated- All'!K23)/2</f>
        <v>-0.29649999999999999</v>
      </c>
      <c r="H23" s="20">
        <f>SQRT(0.25*((All!L23)^2 + ('Untruncated- All'!L23)^2))</f>
        <v>0.19036149820801473</v>
      </c>
      <c r="I23" s="20">
        <f t="shared" si="0"/>
        <v>3.6237499999999999E-2</v>
      </c>
      <c r="J23" s="8">
        <v>0.85</v>
      </c>
      <c r="K23" s="20">
        <f t="shared" si="1"/>
        <v>1.3144622500000003</v>
      </c>
      <c r="N23" s="1" t="s">
        <v>214</v>
      </c>
      <c r="O23" s="1" t="s">
        <v>101</v>
      </c>
      <c r="P23" s="1" t="s">
        <v>46</v>
      </c>
      <c r="Q23" s="16" t="s">
        <v>124</v>
      </c>
      <c r="R23" s="16" t="s">
        <v>125</v>
      </c>
      <c r="S23" s="1" t="s">
        <v>58</v>
      </c>
      <c r="T23" s="20">
        <v>1.9090000000000025</v>
      </c>
      <c r="U23" s="20">
        <v>0.2304663749877626</v>
      </c>
      <c r="V23" s="20">
        <v>5.3114750000000002E-2</v>
      </c>
      <c r="W23" s="20">
        <v>0.76</v>
      </c>
      <c r="X23" s="20">
        <v>1.3202010000000057</v>
      </c>
    </row>
    <row r="24" spans="1:24">
      <c r="A24" s="1" t="s">
        <v>213</v>
      </c>
      <c r="B24" s="46" t="s">
        <v>82</v>
      </c>
      <c r="C24" s="46" t="s">
        <v>70</v>
      </c>
      <c r="D24" s="8" t="s">
        <v>14</v>
      </c>
      <c r="E24" s="51">
        <v>523</v>
      </c>
      <c r="F24" s="20" t="s">
        <v>227</v>
      </c>
      <c r="G24" s="1">
        <f>(All!K24+'Untruncated- All'!K24)/2</f>
        <v>-0.81899999999999995</v>
      </c>
      <c r="H24" s="20">
        <f>SQRT(0.25*((All!L24)^2 + ('Untruncated- All'!L24)^2))</f>
        <v>0.18256711094827568</v>
      </c>
      <c r="I24" s="20">
        <f t="shared" si="0"/>
        <v>3.3330750000000006E-2</v>
      </c>
      <c r="J24" s="8">
        <v>-0.78</v>
      </c>
      <c r="K24" s="20">
        <f t="shared" si="1"/>
        <v>1.5209999999999941E-3</v>
      </c>
      <c r="N24" s="1" t="s">
        <v>214</v>
      </c>
      <c r="O24" s="1" t="s">
        <v>235</v>
      </c>
      <c r="P24" s="1" t="s">
        <v>46</v>
      </c>
      <c r="Q24" s="16" t="s">
        <v>126</v>
      </c>
      <c r="R24" s="16" t="s">
        <v>50</v>
      </c>
      <c r="S24" s="1" t="s">
        <v>59</v>
      </c>
      <c r="T24" s="20">
        <v>2.3045</v>
      </c>
      <c r="U24" s="20">
        <v>0.12185955030279737</v>
      </c>
      <c r="V24" s="20">
        <v>1.4849750000000002E-2</v>
      </c>
      <c r="W24" s="20">
        <v>0.35</v>
      </c>
      <c r="X24" s="20">
        <v>3.8200702499999997</v>
      </c>
    </row>
    <row r="25" spans="1:24">
      <c r="A25" s="1" t="s">
        <v>214</v>
      </c>
      <c r="B25" s="1" t="s">
        <v>101</v>
      </c>
      <c r="C25" s="46" t="s">
        <v>46</v>
      </c>
      <c r="D25" s="25" t="s">
        <v>9</v>
      </c>
      <c r="E25" s="3" t="s">
        <v>83</v>
      </c>
      <c r="F25" s="1" t="s">
        <v>89</v>
      </c>
      <c r="G25" s="1">
        <f>(All!K25+'Untruncated- All'!K25)/2</f>
        <v>3.9245000000000019</v>
      </c>
      <c r="H25" s="20">
        <f>SQRT(0.25*((All!L25)^2 + ('Untruncated- All'!L25)^2))</f>
        <v>0.23044413639752259</v>
      </c>
      <c r="I25" s="20">
        <f t="shared" si="0"/>
        <v>5.3104499999999999E-2</v>
      </c>
      <c r="J25" s="9">
        <v>1.48</v>
      </c>
      <c r="K25" s="20">
        <f t="shared" si="1"/>
        <v>5.975580250000009</v>
      </c>
      <c r="N25" s="1" t="s">
        <v>214</v>
      </c>
      <c r="O25" s="1" t="s">
        <v>235</v>
      </c>
      <c r="P25" s="1" t="s">
        <v>46</v>
      </c>
      <c r="Q25" s="16" t="s">
        <v>127</v>
      </c>
      <c r="R25" s="16" t="s">
        <v>51</v>
      </c>
      <c r="S25" s="1" t="s">
        <v>60</v>
      </c>
      <c r="T25" s="20">
        <v>1.0494999999999997</v>
      </c>
      <c r="U25" s="20">
        <v>0.18992037805354114</v>
      </c>
      <c r="V25" s="20">
        <v>3.6069749999999991E-2</v>
      </c>
      <c r="W25" s="20">
        <v>1.25</v>
      </c>
      <c r="X25" s="20">
        <v>4.0200250000000139E-2</v>
      </c>
    </row>
    <row r="26" spans="1:24">
      <c r="A26" s="1" t="s">
        <v>214</v>
      </c>
      <c r="B26" s="1" t="s">
        <v>101</v>
      </c>
      <c r="C26" s="46" t="s">
        <v>46</v>
      </c>
      <c r="D26" s="16" t="s">
        <v>11</v>
      </c>
      <c r="E26" s="3" t="s">
        <v>84</v>
      </c>
      <c r="F26" s="1" t="s">
        <v>90</v>
      </c>
      <c r="G26" s="1">
        <f>(All!K26+'Untruncated- All'!K26)/2</f>
        <v>1.2460000000000022</v>
      </c>
      <c r="H26" s="20">
        <f>SQRT(0.25*((All!L26)^2 + ('Untruncated- All'!L26)^2))</f>
        <v>0.25723432896874399</v>
      </c>
      <c r="I26" s="20">
        <f t="shared" si="0"/>
        <v>6.6169500000000006E-2</v>
      </c>
      <c r="J26" s="9">
        <v>1.33</v>
      </c>
      <c r="K26" s="20">
        <f t="shared" si="1"/>
        <v>7.0559999999996398E-3</v>
      </c>
      <c r="N26" s="1" t="s">
        <v>214</v>
      </c>
      <c r="O26" s="1" t="s">
        <v>235</v>
      </c>
      <c r="P26" s="1" t="s">
        <v>46</v>
      </c>
      <c r="Q26" s="16" t="s">
        <v>128</v>
      </c>
      <c r="R26" s="16" t="s">
        <v>129</v>
      </c>
      <c r="S26" s="1" t="s">
        <v>61</v>
      </c>
      <c r="T26" s="20">
        <v>1.2570000000000001</v>
      </c>
      <c r="U26" s="20">
        <v>5.7175169435691231E-2</v>
      </c>
      <c r="V26" s="20">
        <v>3.2690000000000006E-3</v>
      </c>
      <c r="W26" s="20">
        <v>1.1499999999999999</v>
      </c>
      <c r="X26" s="20">
        <v>1.1449000000000044E-2</v>
      </c>
    </row>
    <row r="27" spans="1:24">
      <c r="A27" s="1" t="s">
        <v>214</v>
      </c>
      <c r="B27" s="1" t="s">
        <v>235</v>
      </c>
      <c r="C27" s="46" t="s">
        <v>46</v>
      </c>
      <c r="D27" s="16" t="s">
        <v>121</v>
      </c>
      <c r="E27" s="3" t="s">
        <v>122</v>
      </c>
      <c r="F27" s="1" t="s">
        <v>140</v>
      </c>
      <c r="G27" s="1">
        <f>(All!K27+'Untruncated- All'!K27)/2</f>
        <v>-0.5950000000000002</v>
      </c>
      <c r="H27" s="20">
        <f>SQRT(0.25*((All!L27)^2 + ('Untruncated- All'!L27)^2))</f>
        <v>0.28245840401729949</v>
      </c>
      <c r="I27" s="20">
        <f t="shared" si="0"/>
        <v>7.9782749999999986E-2</v>
      </c>
      <c r="J27" s="9">
        <v>0.05</v>
      </c>
      <c r="K27" s="20">
        <f t="shared" si="1"/>
        <v>0.41602500000000031</v>
      </c>
      <c r="N27" s="1" t="s">
        <v>214</v>
      </c>
      <c r="O27" s="1" t="s">
        <v>256</v>
      </c>
      <c r="P27" s="1" t="s">
        <v>46</v>
      </c>
      <c r="Q27" s="16" t="s">
        <v>130</v>
      </c>
      <c r="R27" s="16" t="s">
        <v>85</v>
      </c>
      <c r="S27" s="1" t="s">
        <v>91</v>
      </c>
      <c r="T27" s="20">
        <v>-1.5000000000000124E-2</v>
      </c>
      <c r="U27" s="20">
        <v>0.25305681180319961</v>
      </c>
      <c r="V27" s="20">
        <v>6.4037749999999991E-2</v>
      </c>
      <c r="W27" s="20">
        <v>0.86</v>
      </c>
      <c r="X27" s="20">
        <v>0.76562500000000022</v>
      </c>
    </row>
    <row r="28" spans="1:24">
      <c r="A28" s="1" t="s">
        <v>214</v>
      </c>
      <c r="B28" s="1" t="s">
        <v>101</v>
      </c>
      <c r="C28" s="46" t="s">
        <v>46</v>
      </c>
      <c r="D28" s="16" t="s">
        <v>124</v>
      </c>
      <c r="E28" s="3" t="s">
        <v>125</v>
      </c>
      <c r="F28" s="1" t="s">
        <v>58</v>
      </c>
      <c r="G28" s="1">
        <f>(All!K28+'Untruncated- All'!K28)/2</f>
        <v>1.9090000000000025</v>
      </c>
      <c r="H28" s="20">
        <f>SQRT(0.25*((All!L28)^2 + ('Untruncated- All'!L28)^2))</f>
        <v>0.2304663749877626</v>
      </c>
      <c r="I28" s="20">
        <f t="shared" si="0"/>
        <v>5.3114750000000002E-2</v>
      </c>
      <c r="J28" s="9">
        <v>0.76</v>
      </c>
      <c r="K28" s="20">
        <f t="shared" si="1"/>
        <v>1.3202010000000057</v>
      </c>
      <c r="N28" s="1" t="s">
        <v>214</v>
      </c>
      <c r="O28" s="1" t="s">
        <v>235</v>
      </c>
      <c r="P28" s="1" t="s">
        <v>46</v>
      </c>
      <c r="Q28" s="16" t="s">
        <v>131</v>
      </c>
      <c r="R28" s="16" t="s">
        <v>132</v>
      </c>
      <c r="S28" s="1" t="s">
        <v>141</v>
      </c>
      <c r="T28" s="20">
        <v>0.6684999999999981</v>
      </c>
      <c r="U28" s="20">
        <v>0.1028360345404275</v>
      </c>
      <c r="V28" s="20">
        <v>1.0575249999999998E-2</v>
      </c>
      <c r="W28" s="20">
        <v>1.1100000000000001</v>
      </c>
      <c r="X28" s="20">
        <v>0.19492225000000177</v>
      </c>
    </row>
    <row r="29" spans="1:24">
      <c r="A29" s="1" t="s">
        <v>214</v>
      </c>
      <c r="B29" s="1" t="s">
        <v>235</v>
      </c>
      <c r="C29" s="46" t="s">
        <v>46</v>
      </c>
      <c r="D29" s="16" t="s">
        <v>126</v>
      </c>
      <c r="E29" s="3" t="s">
        <v>50</v>
      </c>
      <c r="F29" s="1" t="s">
        <v>59</v>
      </c>
      <c r="G29" s="1">
        <f>(All!K29+'Untruncated- All'!K29)/2</f>
        <v>2.3045</v>
      </c>
      <c r="H29" s="20">
        <f>SQRT(0.25*((All!L29)^2 + ('Untruncated- All'!L29)^2))</f>
        <v>0.12185955030279737</v>
      </c>
      <c r="I29" s="20">
        <f t="shared" si="0"/>
        <v>1.4849750000000002E-2</v>
      </c>
      <c r="J29" s="9">
        <v>0.35</v>
      </c>
      <c r="K29" s="20">
        <f t="shared" si="1"/>
        <v>3.8200702499999997</v>
      </c>
      <c r="N29" s="1" t="s">
        <v>214</v>
      </c>
      <c r="O29" s="1" t="s">
        <v>235</v>
      </c>
      <c r="P29" s="1" t="s">
        <v>46</v>
      </c>
      <c r="Q29" s="16" t="s">
        <v>133</v>
      </c>
      <c r="R29" s="16" t="s">
        <v>53</v>
      </c>
      <c r="S29" s="1" t="s">
        <v>62</v>
      </c>
      <c r="T29" s="20">
        <v>0.45100000000000051</v>
      </c>
      <c r="U29" s="20">
        <v>0.1780294919388358</v>
      </c>
      <c r="V29" s="20">
        <v>3.16945E-2</v>
      </c>
      <c r="W29" s="20">
        <v>0.55000000000000004</v>
      </c>
      <c r="X29" s="20">
        <v>9.800999999999907E-3</v>
      </c>
    </row>
    <row r="30" spans="1:24">
      <c r="A30" s="1" t="s">
        <v>214</v>
      </c>
      <c r="B30" s="1" t="s">
        <v>235</v>
      </c>
      <c r="C30" s="46" t="s">
        <v>46</v>
      </c>
      <c r="D30" s="16" t="s">
        <v>127</v>
      </c>
      <c r="E30" s="3" t="s">
        <v>51</v>
      </c>
      <c r="F30" s="1" t="s">
        <v>60</v>
      </c>
      <c r="G30" s="1">
        <f>(All!K30+'Untruncated- All'!K30)/2</f>
        <v>1.0494999999999997</v>
      </c>
      <c r="H30" s="20">
        <f>SQRT(0.25*((All!L30)^2 + ('Untruncated- All'!L30)^2))</f>
        <v>0.18992037805354114</v>
      </c>
      <c r="I30" s="20">
        <f t="shared" si="0"/>
        <v>3.6069749999999991E-2</v>
      </c>
      <c r="J30" s="9">
        <v>1.25</v>
      </c>
      <c r="K30" s="20">
        <f t="shared" si="1"/>
        <v>4.0200250000000139E-2</v>
      </c>
      <c r="N30" s="1" t="s">
        <v>214</v>
      </c>
      <c r="O30" s="1" t="s">
        <v>235</v>
      </c>
      <c r="P30" s="1" t="s">
        <v>46</v>
      </c>
      <c r="Q30" s="16" t="s">
        <v>134</v>
      </c>
      <c r="R30" s="16" t="s">
        <v>135</v>
      </c>
      <c r="S30" s="1" t="s">
        <v>142</v>
      </c>
      <c r="T30" s="20">
        <v>-0.13649999999999807</v>
      </c>
      <c r="U30" s="20">
        <v>5.0643360867936082E-2</v>
      </c>
      <c r="V30" s="20">
        <v>2.5647499999999998E-3</v>
      </c>
      <c r="W30" s="20">
        <v>0.09</v>
      </c>
      <c r="X30" s="20">
        <v>5.1302249999999126E-2</v>
      </c>
    </row>
    <row r="31" spans="1:24">
      <c r="A31" s="1" t="s">
        <v>214</v>
      </c>
      <c r="B31" s="1" t="s">
        <v>235</v>
      </c>
      <c r="C31" s="46" t="s">
        <v>46</v>
      </c>
      <c r="D31" s="16" t="s">
        <v>128</v>
      </c>
      <c r="E31" s="3" t="s">
        <v>129</v>
      </c>
      <c r="F31" s="1" t="s">
        <v>61</v>
      </c>
      <c r="G31" s="1">
        <f>(All!K31+'Untruncated- All'!K31)/2</f>
        <v>1.2570000000000001</v>
      </c>
      <c r="H31" s="20">
        <f>SQRT(0.25*((All!L31)^2 + ('Untruncated- All'!L31)^2))</f>
        <v>5.7175169435691231E-2</v>
      </c>
      <c r="I31" s="20">
        <f t="shared" si="0"/>
        <v>3.2690000000000006E-3</v>
      </c>
      <c r="J31" s="9">
        <v>1.1499999999999999</v>
      </c>
      <c r="K31" s="20">
        <f t="shared" si="1"/>
        <v>1.1449000000000044E-2</v>
      </c>
      <c r="N31" s="1" t="s">
        <v>214</v>
      </c>
      <c r="O31" s="1" t="s">
        <v>235</v>
      </c>
      <c r="P31" s="1" t="s">
        <v>46</v>
      </c>
      <c r="Q31" s="16" t="s">
        <v>136</v>
      </c>
      <c r="R31" s="16" t="s">
        <v>137</v>
      </c>
      <c r="S31" s="1" t="s">
        <v>143</v>
      </c>
      <c r="T31" s="20">
        <v>-0.45299999999999985</v>
      </c>
      <c r="U31" s="20">
        <v>0.13751908958395559</v>
      </c>
      <c r="V31" s="20">
        <v>1.8911500000000001E-2</v>
      </c>
      <c r="W31" s="20">
        <v>0.83</v>
      </c>
      <c r="X31" s="20">
        <v>1.6460889999999997</v>
      </c>
    </row>
    <row r="32" spans="1:24">
      <c r="A32" s="1" t="s">
        <v>214</v>
      </c>
      <c r="B32" s="1" t="s">
        <v>256</v>
      </c>
      <c r="C32" s="46" t="s">
        <v>46</v>
      </c>
      <c r="D32" s="16" t="s">
        <v>130</v>
      </c>
      <c r="E32" s="3" t="s">
        <v>85</v>
      </c>
      <c r="F32" s="1" t="s">
        <v>91</v>
      </c>
      <c r="G32" s="1">
        <f>(All!K32+'Untruncated- All'!K32)/2</f>
        <v>-1.5000000000000124E-2</v>
      </c>
      <c r="H32" s="20">
        <f>SQRT(0.25*((All!L32)^2 + ('Untruncated- All'!L32)^2))</f>
        <v>0.25305681180319961</v>
      </c>
      <c r="I32" s="20">
        <f t="shared" si="0"/>
        <v>6.4037749999999991E-2</v>
      </c>
      <c r="J32" s="9">
        <v>0.86</v>
      </c>
      <c r="K32" s="20">
        <f t="shared" si="1"/>
        <v>0.76562500000000022</v>
      </c>
      <c r="N32" s="1" t="s">
        <v>214</v>
      </c>
      <c r="O32" s="1" t="s">
        <v>82</v>
      </c>
      <c r="P32" s="1" t="s">
        <v>70</v>
      </c>
      <c r="Q32" s="16" t="s">
        <v>4</v>
      </c>
      <c r="R32" s="16" t="s">
        <v>245</v>
      </c>
      <c r="S32" s="1" t="s">
        <v>77</v>
      </c>
      <c r="T32" s="20">
        <v>2.1499999999999631E-2</v>
      </c>
      <c r="U32" s="20">
        <v>7.0793714410249731E-2</v>
      </c>
      <c r="V32" s="20">
        <v>5.0117500000000006E-3</v>
      </c>
      <c r="W32" s="20">
        <v>-0.22</v>
      </c>
      <c r="X32" s="20">
        <v>5.8322249999999819E-2</v>
      </c>
    </row>
    <row r="33" spans="1:24">
      <c r="A33" s="1" t="s">
        <v>214</v>
      </c>
      <c r="B33" s="1" t="s">
        <v>235</v>
      </c>
      <c r="C33" s="46" t="s">
        <v>46</v>
      </c>
      <c r="D33" s="16" t="s">
        <v>131</v>
      </c>
      <c r="E33" s="3" t="s">
        <v>132</v>
      </c>
      <c r="F33" s="1" t="s">
        <v>141</v>
      </c>
      <c r="G33" s="1">
        <f>(All!K33+'Untruncated- All'!K33)/2</f>
        <v>0.6684999999999981</v>
      </c>
      <c r="H33" s="20">
        <f>SQRT(0.25*((All!L33)^2 + ('Untruncated- All'!L33)^2))</f>
        <v>0.1028360345404275</v>
      </c>
      <c r="I33" s="20">
        <f t="shared" si="0"/>
        <v>1.0575249999999998E-2</v>
      </c>
      <c r="J33" s="9">
        <v>1.1100000000000001</v>
      </c>
      <c r="K33" s="20">
        <f t="shared" si="1"/>
        <v>0.19492225000000177</v>
      </c>
      <c r="N33" s="1" t="s">
        <v>214</v>
      </c>
      <c r="O33" s="1" t="s">
        <v>82</v>
      </c>
      <c r="P33" s="1" t="s">
        <v>70</v>
      </c>
      <c r="Q33" s="16" t="s">
        <v>119</v>
      </c>
      <c r="R33" s="16" t="s">
        <v>246</v>
      </c>
      <c r="S33" s="1" t="s">
        <v>247</v>
      </c>
      <c r="T33" s="20">
        <v>0.30749999999999744</v>
      </c>
      <c r="U33" s="20">
        <v>8.3447588341425419E-2</v>
      </c>
      <c r="V33" s="20">
        <v>6.9634999999999992E-3</v>
      </c>
      <c r="W33" s="20">
        <v>0.2</v>
      </c>
      <c r="X33" s="20">
        <v>1.1556249999999447E-2</v>
      </c>
    </row>
    <row r="34" spans="1:24">
      <c r="A34" s="1" t="s">
        <v>214</v>
      </c>
      <c r="B34" s="1" t="s">
        <v>235</v>
      </c>
      <c r="C34" s="46" t="s">
        <v>46</v>
      </c>
      <c r="D34" s="16" t="s">
        <v>133</v>
      </c>
      <c r="E34" s="3" t="s">
        <v>53</v>
      </c>
      <c r="F34" s="1" t="s">
        <v>62</v>
      </c>
      <c r="G34" s="1">
        <f>(All!K34+'Untruncated- All'!K34)/2</f>
        <v>0.45100000000000051</v>
      </c>
      <c r="H34" s="20">
        <f>SQRT(0.25*((All!L34)^2 + ('Untruncated- All'!L34)^2))</f>
        <v>0.1780294919388358</v>
      </c>
      <c r="I34" s="20">
        <f t="shared" si="0"/>
        <v>3.16945E-2</v>
      </c>
      <c r="J34" s="9">
        <v>0.55000000000000004</v>
      </c>
      <c r="K34" s="20">
        <f t="shared" si="1"/>
        <v>9.800999999999907E-3</v>
      </c>
      <c r="N34" s="1" t="s">
        <v>215</v>
      </c>
      <c r="O34" s="1" t="s">
        <v>235</v>
      </c>
      <c r="P34" s="1" t="s">
        <v>46</v>
      </c>
      <c r="Q34" s="16" t="s">
        <v>162</v>
      </c>
      <c r="R34" s="16">
        <v>332</v>
      </c>
      <c r="S34" s="1" t="s">
        <v>202</v>
      </c>
      <c r="T34" s="20">
        <v>1.6269999999999998</v>
      </c>
      <c r="U34" s="20">
        <v>0.2765307397017554</v>
      </c>
      <c r="V34" s="20">
        <v>7.6469250000000002E-2</v>
      </c>
      <c r="W34" s="20">
        <v>0.56999999999999995</v>
      </c>
      <c r="X34" s="20">
        <v>1.1172489999999999</v>
      </c>
    </row>
    <row r="35" spans="1:24">
      <c r="A35" s="1" t="s">
        <v>214</v>
      </c>
      <c r="B35" s="1" t="s">
        <v>235</v>
      </c>
      <c r="C35" s="46" t="s">
        <v>46</v>
      </c>
      <c r="D35" s="16" t="s">
        <v>134</v>
      </c>
      <c r="E35" s="3" t="s">
        <v>135</v>
      </c>
      <c r="F35" s="1" t="s">
        <v>142</v>
      </c>
      <c r="G35" s="1">
        <f>(All!K35+'Untruncated- All'!K35)/2</f>
        <v>-0.13649999999999807</v>
      </c>
      <c r="H35" s="20">
        <f>SQRT(0.25*((All!L35)^2 + ('Untruncated- All'!L35)^2))</f>
        <v>5.0643360867936082E-2</v>
      </c>
      <c r="I35" s="20">
        <f t="shared" si="0"/>
        <v>2.5647499999999998E-3</v>
      </c>
      <c r="J35" s="9">
        <v>0.09</v>
      </c>
      <c r="K35" s="20">
        <f t="shared" si="1"/>
        <v>5.1302249999999126E-2</v>
      </c>
      <c r="N35" s="1" t="s">
        <v>215</v>
      </c>
      <c r="O35" s="1" t="s">
        <v>235</v>
      </c>
      <c r="P35" s="1" t="s">
        <v>46</v>
      </c>
      <c r="Q35" s="16" t="s">
        <v>166</v>
      </c>
      <c r="R35" s="16">
        <v>353</v>
      </c>
      <c r="S35" s="1" t="s">
        <v>58</v>
      </c>
      <c r="T35" s="20">
        <v>5.0999999999999712E-2</v>
      </c>
      <c r="U35" s="20">
        <v>0.13170895945227112</v>
      </c>
      <c r="V35" s="20">
        <v>1.7347249999999998E-2</v>
      </c>
      <c r="W35" s="20">
        <v>-0.82</v>
      </c>
      <c r="X35" s="20">
        <v>0.75864099999999945</v>
      </c>
    </row>
    <row r="36" spans="1:24">
      <c r="A36" s="1" t="s">
        <v>214</v>
      </c>
      <c r="B36" s="1" t="s">
        <v>235</v>
      </c>
      <c r="C36" s="46" t="s">
        <v>46</v>
      </c>
      <c r="D36" s="16" t="s">
        <v>136</v>
      </c>
      <c r="E36" s="3" t="s">
        <v>137</v>
      </c>
      <c r="F36" s="1" t="s">
        <v>143</v>
      </c>
      <c r="G36" s="1">
        <f>(All!K36+'Untruncated- All'!K36)/2</f>
        <v>-0.45299999999999985</v>
      </c>
      <c r="H36" s="20">
        <f>SQRT(0.25*((All!L36)^2 + ('Untruncated- All'!L36)^2))</f>
        <v>0.13751908958395559</v>
      </c>
      <c r="I36" s="20">
        <f t="shared" si="0"/>
        <v>1.8911500000000001E-2</v>
      </c>
      <c r="J36" s="9">
        <v>0.83</v>
      </c>
      <c r="K36" s="20">
        <f t="shared" si="1"/>
        <v>1.6460889999999997</v>
      </c>
      <c r="N36" s="1" t="s">
        <v>215</v>
      </c>
      <c r="O36" s="1" t="s">
        <v>235</v>
      </c>
      <c r="P36" s="1" t="s">
        <v>46</v>
      </c>
      <c r="Q36" s="16" t="s">
        <v>167</v>
      </c>
      <c r="R36" s="16">
        <v>354</v>
      </c>
      <c r="S36" s="1" t="s">
        <v>59</v>
      </c>
      <c r="T36" s="20">
        <v>-0.37199999999999989</v>
      </c>
      <c r="U36" s="20">
        <v>0.15114645215816347</v>
      </c>
      <c r="V36" s="20">
        <v>2.2845249999999998E-2</v>
      </c>
      <c r="W36" s="20">
        <v>-0.85</v>
      </c>
      <c r="X36" s="20">
        <v>0.22848400000000008</v>
      </c>
    </row>
    <row r="37" spans="1:24">
      <c r="A37" s="1" t="s">
        <v>214</v>
      </c>
      <c r="B37" s="1" t="s">
        <v>101</v>
      </c>
      <c r="C37" s="46" t="s">
        <v>46</v>
      </c>
      <c r="D37" s="25" t="s">
        <v>138</v>
      </c>
      <c r="E37" s="3" t="s">
        <v>139</v>
      </c>
      <c r="F37" s="1" t="s">
        <v>144</v>
      </c>
      <c r="G37" s="1">
        <f>(All!K37+'Untruncated- All'!K37)/2</f>
        <v>1.456999999999999</v>
      </c>
      <c r="H37" s="20">
        <f>SQRT(0.25*((All!L37)^2 + ('Untruncated- All'!L37)^2))</f>
        <v>0.52552473776217234</v>
      </c>
      <c r="I37" s="20">
        <f t="shared" si="0"/>
        <v>0.27617625000000001</v>
      </c>
      <c r="J37" s="9">
        <v>1.07</v>
      </c>
      <c r="K37" s="20">
        <f t="shared" si="1"/>
        <v>0.14976899999999915</v>
      </c>
      <c r="N37" s="1" t="s">
        <v>215</v>
      </c>
      <c r="O37" s="1" t="s">
        <v>235</v>
      </c>
      <c r="P37" s="1" t="s">
        <v>46</v>
      </c>
      <c r="Q37" s="16" t="s">
        <v>13</v>
      </c>
      <c r="R37" s="16">
        <v>355</v>
      </c>
      <c r="S37" s="1" t="s">
        <v>187</v>
      </c>
      <c r="T37" s="20">
        <v>2.218</v>
      </c>
      <c r="U37" s="20">
        <v>0.17056450392739986</v>
      </c>
      <c r="V37" s="20">
        <v>2.909225E-2</v>
      </c>
      <c r="W37" s="20">
        <v>0.46</v>
      </c>
      <c r="X37" s="20">
        <v>3.0905640000000001</v>
      </c>
    </row>
    <row r="38" spans="1:24">
      <c r="A38" s="1" t="s">
        <v>214</v>
      </c>
      <c r="B38" s="1" t="s">
        <v>82</v>
      </c>
      <c r="C38" s="46" t="s">
        <v>70</v>
      </c>
      <c r="D38" s="16" t="s">
        <v>4</v>
      </c>
      <c r="E38" s="16" t="s">
        <v>245</v>
      </c>
      <c r="F38" s="1" t="s">
        <v>77</v>
      </c>
      <c r="G38" s="1">
        <f>(All!K38+'Untruncated- All'!K38)/2</f>
        <v>2.1499999999999631E-2</v>
      </c>
      <c r="H38" s="20">
        <f>SQRT(0.25*((All!L38)^2 + ('Untruncated- All'!L38)^2))</f>
        <v>7.0793714410249731E-2</v>
      </c>
      <c r="I38" s="20">
        <f t="shared" si="0"/>
        <v>5.0117500000000006E-3</v>
      </c>
      <c r="J38" s="16">
        <v>-0.22</v>
      </c>
      <c r="K38" s="20">
        <f t="shared" si="1"/>
        <v>5.8322249999999819E-2</v>
      </c>
      <c r="N38" s="1" t="s">
        <v>215</v>
      </c>
      <c r="O38" s="1" t="s">
        <v>235</v>
      </c>
      <c r="P38" s="1" t="s">
        <v>46</v>
      </c>
      <c r="Q38" s="16" t="s">
        <v>168</v>
      </c>
      <c r="R38" s="16">
        <v>357</v>
      </c>
      <c r="S38" s="1" t="s">
        <v>61</v>
      </c>
      <c r="T38" s="20">
        <v>6.4500000000000224E-2</v>
      </c>
      <c r="U38" s="20">
        <v>8.6103135831396976E-2</v>
      </c>
      <c r="V38" s="20">
        <v>7.4137499999999976E-3</v>
      </c>
      <c r="W38" s="20">
        <v>0.99</v>
      </c>
      <c r="X38" s="20">
        <v>0.85655024999999962</v>
      </c>
    </row>
    <row r="39" spans="1:24">
      <c r="A39" s="1" t="s">
        <v>214</v>
      </c>
      <c r="B39" s="1" t="s">
        <v>82</v>
      </c>
      <c r="C39" s="46" t="s">
        <v>70</v>
      </c>
      <c r="D39" s="16" t="s">
        <v>119</v>
      </c>
      <c r="E39" s="16" t="s">
        <v>246</v>
      </c>
      <c r="F39" s="1" t="s">
        <v>247</v>
      </c>
      <c r="G39" s="1">
        <f>(All!K39+'Untruncated- All'!K39)/2</f>
        <v>0.30749999999999744</v>
      </c>
      <c r="H39" s="20">
        <f>SQRT(0.25*((All!L39)^2 + ('Untruncated- All'!L39)^2))</f>
        <v>8.3447588341425419E-2</v>
      </c>
      <c r="I39" s="20">
        <f t="shared" si="0"/>
        <v>6.9634999999999992E-3</v>
      </c>
      <c r="J39" s="16">
        <v>0.2</v>
      </c>
      <c r="K39" s="20">
        <f t="shared" si="1"/>
        <v>1.1556249999999447E-2</v>
      </c>
      <c r="N39" s="1" t="s">
        <v>215</v>
      </c>
      <c r="O39" s="1" t="s">
        <v>235</v>
      </c>
      <c r="P39" s="1" t="s">
        <v>46</v>
      </c>
      <c r="Q39" s="16" t="s">
        <v>169</v>
      </c>
      <c r="R39" s="16">
        <v>358</v>
      </c>
      <c r="S39" s="1" t="s">
        <v>91</v>
      </c>
      <c r="T39" s="20">
        <v>0.8504999999999967</v>
      </c>
      <c r="U39" s="20">
        <v>0.17676679552449889</v>
      </c>
      <c r="V39" s="20">
        <v>3.1246500000000003E-2</v>
      </c>
      <c r="W39" s="20">
        <v>1.53</v>
      </c>
      <c r="X39" s="20">
        <v>0.4617202500000045</v>
      </c>
    </row>
    <row r="40" spans="1:24">
      <c r="A40" s="1" t="s">
        <v>214</v>
      </c>
      <c r="B40" s="1" t="s">
        <v>101</v>
      </c>
      <c r="C40" s="46" t="s">
        <v>70</v>
      </c>
      <c r="D40" s="25" t="s">
        <v>120</v>
      </c>
      <c r="E40" s="16" t="s">
        <v>248</v>
      </c>
      <c r="F40" s="1" t="s">
        <v>249</v>
      </c>
      <c r="G40" s="1">
        <f>(All!K40+'Untruncated- All'!K40)/2</f>
        <v>1.1630000000000003</v>
      </c>
      <c r="H40" s="20">
        <f>SQRT(0.25*((All!L40)^2 + ('Untruncated- All'!L40)^2))</f>
        <v>0.14406769242269413</v>
      </c>
      <c r="I40" s="20">
        <f t="shared" si="0"/>
        <v>2.07555E-2</v>
      </c>
      <c r="J40" s="16">
        <v>-0.87</v>
      </c>
      <c r="K40" s="20">
        <f t="shared" si="1"/>
        <v>4.1330890000000018</v>
      </c>
      <c r="N40" s="1" t="s">
        <v>215</v>
      </c>
      <c r="O40" s="1" t="s">
        <v>235</v>
      </c>
      <c r="P40" s="1" t="s">
        <v>46</v>
      </c>
      <c r="Q40" s="16" t="s">
        <v>170</v>
      </c>
      <c r="R40" s="16">
        <v>360</v>
      </c>
      <c r="S40" s="1" t="s">
        <v>205</v>
      </c>
      <c r="T40" s="20">
        <v>-0.31100000000000083</v>
      </c>
      <c r="U40" s="20">
        <v>0.11807095324422513</v>
      </c>
      <c r="V40" s="20">
        <v>1.3940749999999997E-2</v>
      </c>
      <c r="W40" s="20">
        <v>0.06</v>
      </c>
      <c r="X40" s="20">
        <v>0.13764100000000062</v>
      </c>
    </row>
    <row r="41" spans="1:24">
      <c r="A41" s="1" t="s">
        <v>214</v>
      </c>
      <c r="B41" s="1" t="s">
        <v>101</v>
      </c>
      <c r="C41" s="46" t="s">
        <v>70</v>
      </c>
      <c r="D41" s="25" t="s">
        <v>123</v>
      </c>
      <c r="E41" s="24" t="s">
        <v>250</v>
      </c>
      <c r="F41" s="1" t="s">
        <v>251</v>
      </c>
      <c r="G41" s="1">
        <f>(All!K41+'Untruncated- All'!K41)/2</f>
        <v>1.1079999999999988</v>
      </c>
      <c r="H41" s="20">
        <f>SQRT(0.25*((All!L41)^2 + ('Untruncated- All'!L41)^2))</f>
        <v>0.20658472838039119</v>
      </c>
      <c r="I41" s="20">
        <f t="shared" si="0"/>
        <v>4.2677250000000007E-2</v>
      </c>
      <c r="J41" s="16">
        <v>0.83</v>
      </c>
      <c r="K41" s="20">
        <f t="shared" si="1"/>
        <v>7.7283999999999339E-2</v>
      </c>
      <c r="N41" s="1" t="s">
        <v>215</v>
      </c>
      <c r="O41" s="1" t="s">
        <v>235</v>
      </c>
      <c r="P41" s="1" t="s">
        <v>46</v>
      </c>
      <c r="Q41" s="16" t="s">
        <v>171</v>
      </c>
      <c r="R41" s="16">
        <v>402</v>
      </c>
      <c r="S41" s="1" t="s">
        <v>92</v>
      </c>
      <c r="T41" s="20">
        <v>0.64449999999999941</v>
      </c>
      <c r="U41" s="20">
        <v>0.20435385976291223</v>
      </c>
      <c r="V41" s="20">
        <v>4.1760499999999999E-2</v>
      </c>
      <c r="W41" s="20">
        <v>0.47</v>
      </c>
      <c r="X41" s="20">
        <v>3.0450249999999804E-2</v>
      </c>
    </row>
    <row r="42" spans="1:24">
      <c r="A42" s="1" t="s">
        <v>215</v>
      </c>
      <c r="B42" s="1" t="s">
        <v>235</v>
      </c>
      <c r="C42" s="46" t="s">
        <v>46</v>
      </c>
      <c r="D42" s="3" t="s">
        <v>162</v>
      </c>
      <c r="E42" s="3" t="s">
        <v>199</v>
      </c>
      <c r="F42" s="1" t="s">
        <v>202</v>
      </c>
      <c r="G42" s="1">
        <f>(All!K42+'Untruncated- All'!K42)/2</f>
        <v>1.6269999999999998</v>
      </c>
      <c r="H42" s="20">
        <f>SQRT(0.25*((All!L42)^2 + ('Untruncated- All'!L42)^2))</f>
        <v>0.2765307397017554</v>
      </c>
      <c r="I42" s="20">
        <f t="shared" si="0"/>
        <v>7.6469250000000002E-2</v>
      </c>
      <c r="J42" s="3">
        <v>0.56999999999999995</v>
      </c>
      <c r="K42" s="20">
        <f t="shared" si="1"/>
        <v>1.1172489999999999</v>
      </c>
      <c r="N42" s="1" t="s">
        <v>215</v>
      </c>
      <c r="O42" s="1" t="s">
        <v>235</v>
      </c>
      <c r="P42" s="1" t="s">
        <v>46</v>
      </c>
      <c r="Q42" s="16" t="s">
        <v>172</v>
      </c>
      <c r="R42" s="16">
        <v>403</v>
      </c>
      <c r="S42" s="1" t="s">
        <v>93</v>
      </c>
      <c r="T42" s="20">
        <v>0.70500000000000007</v>
      </c>
      <c r="U42" s="20">
        <v>0.14149558296992878</v>
      </c>
      <c r="V42" s="20">
        <v>2.0021000000000001E-2</v>
      </c>
      <c r="W42" s="20">
        <v>-0.43</v>
      </c>
      <c r="X42" s="20">
        <v>1.288225</v>
      </c>
    </row>
    <row r="43" spans="1:24">
      <c r="A43" s="1" t="s">
        <v>215</v>
      </c>
      <c r="B43" s="1" t="s">
        <v>101</v>
      </c>
      <c r="C43" s="46" t="s">
        <v>46</v>
      </c>
      <c r="D43" s="6" t="s">
        <v>9</v>
      </c>
      <c r="E43" s="3" t="s">
        <v>200</v>
      </c>
      <c r="F43" s="1" t="s">
        <v>203</v>
      </c>
      <c r="G43" s="1">
        <f>(All!K43+'Untruncated- All'!K43)/2</f>
        <v>2.222999999999999</v>
      </c>
      <c r="H43" s="20">
        <f>SQRT(0.25*((All!L43)^2 + ('Untruncated- All'!L43)^2))</f>
        <v>0.47153022172497067</v>
      </c>
      <c r="I43" s="20">
        <f t="shared" si="0"/>
        <v>0.22234075</v>
      </c>
      <c r="J43" s="3">
        <v>1.07</v>
      </c>
      <c r="K43" s="20">
        <f t="shared" si="1"/>
        <v>1.3294089999999974</v>
      </c>
      <c r="N43" s="1" t="s">
        <v>215</v>
      </c>
      <c r="O43" s="1" t="s">
        <v>82</v>
      </c>
      <c r="P43" s="1" t="s">
        <v>70</v>
      </c>
      <c r="Q43" s="16" t="s">
        <v>14</v>
      </c>
      <c r="R43" s="16">
        <v>526</v>
      </c>
      <c r="S43" s="1" t="s">
        <v>195</v>
      </c>
      <c r="T43" s="20">
        <v>-0.17649999999999988</v>
      </c>
      <c r="U43" s="20">
        <v>0.15648162831463636</v>
      </c>
      <c r="V43" s="20">
        <v>2.4486500000000001E-2</v>
      </c>
      <c r="W43" s="20">
        <v>-0.51</v>
      </c>
      <c r="X43" s="20">
        <v>0.11122225000000009</v>
      </c>
    </row>
    <row r="44" spans="1:24">
      <c r="A44" s="1" t="s">
        <v>215</v>
      </c>
      <c r="B44" s="1" t="s">
        <v>101</v>
      </c>
      <c r="C44" s="46" t="s">
        <v>46</v>
      </c>
      <c r="D44" s="6" t="s">
        <v>11</v>
      </c>
      <c r="E44" s="3" t="s">
        <v>176</v>
      </c>
      <c r="F44" s="1" t="s">
        <v>186</v>
      </c>
      <c r="G44" s="1">
        <f>(All!K44+'Untruncated- All'!K44)/2</f>
        <v>2.2925000000000004</v>
      </c>
      <c r="H44" s="20">
        <f>SQRT(0.25*((All!L44)^2 + ('Untruncated- All'!L44)^2))</f>
        <v>0.18704143925879099</v>
      </c>
      <c r="I44" s="20">
        <f t="shared" si="0"/>
        <v>3.4984500000000002E-2</v>
      </c>
      <c r="J44" s="3">
        <v>1.53</v>
      </c>
      <c r="K44" s="20">
        <f t="shared" si="1"/>
        <v>0.58140625000000057</v>
      </c>
      <c r="N44" s="1"/>
      <c r="O44" s="1"/>
      <c r="P44" s="1"/>
      <c r="Q44" s="1"/>
      <c r="R44" s="1"/>
      <c r="S44" s="1"/>
      <c r="T44" s="20"/>
      <c r="U44" s="20"/>
      <c r="V44" s="18" t="s">
        <v>67</v>
      </c>
      <c r="W44" s="18"/>
      <c r="X44" s="18" t="s">
        <v>67</v>
      </c>
    </row>
    <row r="45" spans="1:24">
      <c r="A45" s="1" t="s">
        <v>215</v>
      </c>
      <c r="B45" s="1" t="s">
        <v>235</v>
      </c>
      <c r="C45" s="46" t="s">
        <v>46</v>
      </c>
      <c r="D45" s="3" t="s">
        <v>166</v>
      </c>
      <c r="E45" s="3" t="s">
        <v>177</v>
      </c>
      <c r="F45" s="1" t="s">
        <v>58</v>
      </c>
      <c r="G45" s="1">
        <f>(All!K45+'Untruncated- All'!K45)/2</f>
        <v>5.0999999999999712E-2</v>
      </c>
      <c r="H45" s="20">
        <f>SQRT(0.25*((All!L45)^2 + ('Untruncated- All'!L45)^2))</f>
        <v>0.13170895945227112</v>
      </c>
      <c r="I45" s="20">
        <f t="shared" si="0"/>
        <v>1.7347249999999998E-2</v>
      </c>
      <c r="J45" s="3">
        <v>-0.82</v>
      </c>
      <c r="K45" s="20">
        <f t="shared" si="1"/>
        <v>0.75864099999999945</v>
      </c>
      <c r="N45" s="1"/>
      <c r="O45" s="1"/>
      <c r="P45" s="1"/>
      <c r="Q45" s="1"/>
      <c r="R45" s="1"/>
      <c r="S45" s="1"/>
      <c r="T45" s="20"/>
      <c r="U45" s="20"/>
      <c r="V45" s="20">
        <f>SUM(V3:V43)</f>
        <v>1.4390629999285633</v>
      </c>
      <c r="W45" s="20"/>
      <c r="X45" s="20">
        <f>SUM(X3:X43)</f>
        <v>33.021744749999996</v>
      </c>
    </row>
    <row r="46" spans="1:24">
      <c r="A46" s="1" t="s">
        <v>215</v>
      </c>
      <c r="B46" s="1" t="s">
        <v>235</v>
      </c>
      <c r="C46" s="46" t="s">
        <v>46</v>
      </c>
      <c r="D46" s="3" t="s">
        <v>167</v>
      </c>
      <c r="E46" s="3" t="s">
        <v>178</v>
      </c>
      <c r="F46" s="1" t="s">
        <v>59</v>
      </c>
      <c r="G46" s="1">
        <f>(All!K46+'Untruncated- All'!K46)/2</f>
        <v>-0.37199999999999989</v>
      </c>
      <c r="H46" s="20">
        <f>SQRT(0.25*((All!L46)^2 + ('Untruncated- All'!L46)^2))</f>
        <v>0.15114645215816347</v>
      </c>
      <c r="I46" s="20">
        <f t="shared" si="0"/>
        <v>2.2845249999999998E-2</v>
      </c>
      <c r="J46" s="3">
        <v>-0.85</v>
      </c>
      <c r="K46" s="20">
        <f t="shared" si="1"/>
        <v>0.22848400000000008</v>
      </c>
      <c r="N46" s="1"/>
      <c r="O46" s="1"/>
      <c r="P46" s="1"/>
      <c r="Q46" s="1"/>
      <c r="R46" s="1"/>
      <c r="S46" s="1"/>
      <c r="T46" s="20"/>
      <c r="U46" s="20"/>
      <c r="V46" s="20"/>
      <c r="W46" s="20"/>
      <c r="X46" s="20"/>
    </row>
    <row r="47" spans="1:24">
      <c r="A47" s="1" t="s">
        <v>215</v>
      </c>
      <c r="B47" s="1" t="s">
        <v>235</v>
      </c>
      <c r="C47" s="46" t="s">
        <v>46</v>
      </c>
      <c r="D47" s="3" t="s">
        <v>13</v>
      </c>
      <c r="E47" s="3" t="s">
        <v>179</v>
      </c>
      <c r="F47" s="1" t="s">
        <v>187</v>
      </c>
      <c r="G47" s="1">
        <f>(All!K47+'Untruncated- All'!K47)/2</f>
        <v>2.218</v>
      </c>
      <c r="H47" s="20">
        <f>SQRT(0.25*((All!L47)^2 + ('Untruncated- All'!L47)^2))</f>
        <v>0.17056450392739986</v>
      </c>
      <c r="I47" s="20">
        <f t="shared" si="0"/>
        <v>2.909225E-2</v>
      </c>
      <c r="J47" s="3">
        <v>0.46</v>
      </c>
      <c r="K47" s="20">
        <f t="shared" si="1"/>
        <v>3.0905640000000001</v>
      </c>
      <c r="N47" s="1"/>
      <c r="O47" s="1"/>
      <c r="P47" s="1"/>
      <c r="Q47" s="1"/>
      <c r="R47" s="1"/>
      <c r="S47" s="1"/>
      <c r="T47" s="20"/>
      <c r="U47" s="20"/>
      <c r="V47" s="20"/>
      <c r="W47" s="19" t="s">
        <v>68</v>
      </c>
      <c r="X47" s="20">
        <f>SQRT(X45/41)</f>
        <v>0.8974454905656305</v>
      </c>
    </row>
    <row r="48" spans="1:24">
      <c r="A48" s="1" t="s">
        <v>215</v>
      </c>
      <c r="B48" s="1" t="s">
        <v>235</v>
      </c>
      <c r="C48" s="46" t="s">
        <v>46</v>
      </c>
      <c r="D48" s="3" t="s">
        <v>168</v>
      </c>
      <c r="E48" s="3" t="s">
        <v>180</v>
      </c>
      <c r="F48" s="1" t="s">
        <v>61</v>
      </c>
      <c r="G48" s="1">
        <f>(All!K48+'Untruncated- All'!K48)/2</f>
        <v>6.4500000000000224E-2</v>
      </c>
      <c r="H48" s="20">
        <f>SQRT(0.25*((All!L48)^2 + ('Untruncated- All'!L48)^2))</f>
        <v>8.6103135831396976E-2</v>
      </c>
      <c r="I48" s="20">
        <f t="shared" si="0"/>
        <v>7.4137499999999976E-3</v>
      </c>
      <c r="J48" s="3">
        <v>0.99</v>
      </c>
      <c r="K48" s="20">
        <f t="shared" si="1"/>
        <v>0.85655024999999962</v>
      </c>
      <c r="N48" s="1"/>
      <c r="O48" s="1"/>
      <c r="P48" s="1"/>
      <c r="Q48" s="1"/>
      <c r="R48" s="1"/>
      <c r="S48" s="1"/>
      <c r="T48" s="20"/>
      <c r="U48" s="20"/>
      <c r="V48" s="20"/>
      <c r="W48" s="19" t="s">
        <v>40</v>
      </c>
      <c r="X48" s="20">
        <f>SQRT(V45/41)</f>
        <v>0.18734753150023956</v>
      </c>
    </row>
    <row r="49" spans="1:24">
      <c r="A49" s="1" t="s">
        <v>215</v>
      </c>
      <c r="B49" s="1" t="s">
        <v>235</v>
      </c>
      <c r="C49" s="46" t="s">
        <v>46</v>
      </c>
      <c r="D49" s="3" t="s">
        <v>169</v>
      </c>
      <c r="E49" s="3" t="s">
        <v>181</v>
      </c>
      <c r="F49" s="1" t="s">
        <v>91</v>
      </c>
      <c r="G49" s="1">
        <f>(All!K49+'Untruncated- All'!K49)/2</f>
        <v>0.8504999999999967</v>
      </c>
      <c r="H49" s="20">
        <f>SQRT(0.25*((All!L49)^2 + ('Untruncated- All'!L49)^2))</f>
        <v>0.17676679552449889</v>
      </c>
      <c r="I49" s="20">
        <f t="shared" si="0"/>
        <v>3.1246500000000003E-2</v>
      </c>
      <c r="J49" s="3">
        <v>1.53</v>
      </c>
      <c r="K49" s="20">
        <f t="shared" si="1"/>
        <v>0.4617202500000045</v>
      </c>
      <c r="N49" s="1"/>
      <c r="O49" s="1"/>
      <c r="P49" s="1"/>
      <c r="Q49" s="1"/>
      <c r="R49" s="1"/>
      <c r="S49" s="1"/>
      <c r="T49" s="1"/>
      <c r="U49" s="1"/>
      <c r="V49" s="1"/>
      <c r="W49" s="1"/>
      <c r="X49" s="1"/>
    </row>
    <row r="50" spans="1:24">
      <c r="A50" s="1" t="s">
        <v>215</v>
      </c>
      <c r="B50" s="1" t="s">
        <v>235</v>
      </c>
      <c r="C50" s="46" t="s">
        <v>46</v>
      </c>
      <c r="D50" s="3" t="s">
        <v>170</v>
      </c>
      <c r="E50" s="3" t="s">
        <v>201</v>
      </c>
      <c r="F50" s="1" t="s">
        <v>205</v>
      </c>
      <c r="G50" s="1">
        <f>(All!K50+'Untruncated- All'!K50)/2</f>
        <v>-0.31100000000000083</v>
      </c>
      <c r="H50" s="20">
        <f>SQRT(0.25*((All!L50)^2 + ('Untruncated- All'!L50)^2))</f>
        <v>0.11807095324422513</v>
      </c>
      <c r="I50" s="20">
        <f t="shared" si="0"/>
        <v>1.3940749999999997E-2</v>
      </c>
      <c r="J50" s="3">
        <v>0.06</v>
      </c>
      <c r="K50" s="20">
        <f t="shared" si="1"/>
        <v>0.13764100000000062</v>
      </c>
    </row>
    <row r="51" spans="1:24">
      <c r="A51" s="1" t="s">
        <v>215</v>
      </c>
      <c r="B51" s="1" t="s">
        <v>235</v>
      </c>
      <c r="C51" s="46" t="s">
        <v>46</v>
      </c>
      <c r="D51" s="3" t="s">
        <v>171</v>
      </c>
      <c r="E51" s="3" t="s">
        <v>86</v>
      </c>
      <c r="F51" s="1" t="s">
        <v>92</v>
      </c>
      <c r="G51" s="1">
        <f>(All!K51+'Untruncated- All'!K51)/2</f>
        <v>0.64449999999999941</v>
      </c>
      <c r="H51" s="20">
        <f>SQRT(0.25*((All!L51)^2 + ('Untruncated- All'!L51)^2))</f>
        <v>0.20435385976291223</v>
      </c>
      <c r="I51" s="20">
        <f t="shared" si="0"/>
        <v>4.1760499999999999E-2</v>
      </c>
      <c r="J51" s="3">
        <v>0.47</v>
      </c>
      <c r="K51" s="20">
        <f t="shared" si="1"/>
        <v>3.0450249999999804E-2</v>
      </c>
    </row>
    <row r="52" spans="1:24">
      <c r="A52" s="1" t="s">
        <v>215</v>
      </c>
      <c r="B52" s="1" t="s">
        <v>235</v>
      </c>
      <c r="C52" s="46" t="s">
        <v>46</v>
      </c>
      <c r="D52" s="3" t="s">
        <v>172</v>
      </c>
      <c r="E52" s="3" t="s">
        <v>182</v>
      </c>
      <c r="F52" s="1" t="s">
        <v>93</v>
      </c>
      <c r="G52" s="1">
        <f>(All!K52+'Untruncated- All'!K52)/2</f>
        <v>0.70500000000000007</v>
      </c>
      <c r="H52" s="20">
        <f>SQRT(0.25*((All!L52)^2 + ('Untruncated- All'!L52)^2))</f>
        <v>0.14149558296992878</v>
      </c>
      <c r="I52" s="20">
        <f t="shared" si="0"/>
        <v>2.0021000000000001E-2</v>
      </c>
      <c r="J52" s="3">
        <v>-0.43</v>
      </c>
      <c r="K52" s="20">
        <f t="shared" si="1"/>
        <v>1.288225</v>
      </c>
    </row>
    <row r="53" spans="1:24">
      <c r="A53" s="1" t="s">
        <v>215</v>
      </c>
      <c r="B53" s="1" t="s">
        <v>101</v>
      </c>
      <c r="C53" s="46" t="s">
        <v>46</v>
      </c>
      <c r="D53" s="6" t="s">
        <v>173</v>
      </c>
      <c r="E53" s="3" t="s">
        <v>183</v>
      </c>
      <c r="F53" s="1" t="s">
        <v>94</v>
      </c>
      <c r="G53" s="1">
        <f>(All!K53+'Untruncated- All'!K53)/2</f>
        <v>1.4525000000000006</v>
      </c>
      <c r="H53" s="20">
        <f>SQRT(0.25*((All!L53)^2 + ('Untruncated- All'!L53)^2))</f>
        <v>0.11460366486286554</v>
      </c>
      <c r="I53" s="20">
        <f t="shared" si="0"/>
        <v>1.3134000000000002E-2</v>
      </c>
      <c r="J53" s="3">
        <v>-0.27</v>
      </c>
      <c r="K53" s="20">
        <f t="shared" si="1"/>
        <v>2.9670062500000021</v>
      </c>
    </row>
    <row r="54" spans="1:24">
      <c r="A54" s="1" t="s">
        <v>215</v>
      </c>
      <c r="B54" s="1" t="s">
        <v>101</v>
      </c>
      <c r="C54" s="46" t="s">
        <v>46</v>
      </c>
      <c r="D54" s="6" t="s">
        <v>174</v>
      </c>
      <c r="E54" s="3" t="s">
        <v>184</v>
      </c>
      <c r="F54" s="1" t="s">
        <v>188</v>
      </c>
      <c r="G54" s="1">
        <f>(All!K54+'Untruncated- All'!K54)/2</f>
        <v>-1.1370000000000005</v>
      </c>
      <c r="H54" s="20">
        <f>SQRT(0.25*((All!L54)^2 + ('Untruncated- All'!L54)^2))</f>
        <v>0.14432428763032229</v>
      </c>
      <c r="I54" s="20">
        <f t="shared" si="0"/>
        <v>2.0829500000000001E-2</v>
      </c>
      <c r="J54" s="3">
        <v>-0.63</v>
      </c>
      <c r="K54" s="20">
        <f t="shared" si="1"/>
        <v>0.25704900000000047</v>
      </c>
    </row>
    <row r="55" spans="1:24">
      <c r="A55" s="1" t="s">
        <v>215</v>
      </c>
      <c r="B55" s="1" t="s">
        <v>101</v>
      </c>
      <c r="C55" s="46" t="s">
        <v>46</v>
      </c>
      <c r="D55" s="6" t="s">
        <v>175</v>
      </c>
      <c r="E55" s="3" t="s">
        <v>185</v>
      </c>
      <c r="F55" s="1" t="s">
        <v>189</v>
      </c>
      <c r="G55" s="1">
        <f>(All!K55+'Untruncated- All'!K55)/2</f>
        <v>-8.1500000000000128E-2</v>
      </c>
      <c r="H55" s="20">
        <f>SQRT(0.25*((All!L55)^2 + ('Untruncated- All'!L55)^2))</f>
        <v>0.15004915861143642</v>
      </c>
      <c r="I55" s="20">
        <f t="shared" si="0"/>
        <v>2.2514750000000004E-2</v>
      </c>
      <c r="J55" s="3">
        <v>0.19</v>
      </c>
      <c r="K55" s="20">
        <f t="shared" si="1"/>
        <v>7.3712250000000076E-2</v>
      </c>
    </row>
    <row r="56" spans="1:24">
      <c r="A56" s="1" t="s">
        <v>215</v>
      </c>
      <c r="B56" s="1" t="s">
        <v>82</v>
      </c>
      <c r="C56" s="46" t="s">
        <v>70</v>
      </c>
      <c r="D56" s="3" t="s">
        <v>14</v>
      </c>
      <c r="E56" s="3" t="s">
        <v>190</v>
      </c>
      <c r="F56" s="59" t="s">
        <v>195</v>
      </c>
      <c r="G56" s="1">
        <f>(All!K56+'Untruncated- All'!K56)/2</f>
        <v>-0.17649999999999988</v>
      </c>
      <c r="H56" s="20">
        <f>SQRT(0.25*((All!L56)^2 + ('Untruncated- All'!L56)^2))</f>
        <v>0.15648162831463636</v>
      </c>
      <c r="I56" s="20">
        <f t="shared" si="0"/>
        <v>2.4486500000000001E-2</v>
      </c>
      <c r="J56" s="3">
        <v>-0.51</v>
      </c>
      <c r="K56" s="20">
        <f t="shared" si="1"/>
        <v>0.11122225000000009</v>
      </c>
    </row>
    <row r="57" spans="1:24">
      <c r="A57" s="1" t="s">
        <v>215</v>
      </c>
      <c r="B57" s="1" t="s">
        <v>101</v>
      </c>
      <c r="C57" s="46" t="s">
        <v>70</v>
      </c>
      <c r="D57" s="6" t="s">
        <v>163</v>
      </c>
      <c r="E57" s="3" t="s">
        <v>191</v>
      </c>
      <c r="F57" s="59" t="s">
        <v>196</v>
      </c>
      <c r="G57" s="1">
        <f>(All!K57+'Untruncated- All'!K57)/2</f>
        <v>9.9000000000000199E-2</v>
      </c>
      <c r="H57" s="20">
        <f>SQRT(0.25*((All!L57)^2 + ('Untruncated- All'!L57)^2))</f>
        <v>6.4261185796715581E-2</v>
      </c>
      <c r="I57" s="20">
        <f t="shared" si="0"/>
        <v>4.1295000000000004E-3</v>
      </c>
      <c r="J57" s="3">
        <v>1.1299999999999999</v>
      </c>
      <c r="K57" s="20">
        <f t="shared" si="1"/>
        <v>1.0629609999999994</v>
      </c>
    </row>
    <row r="58" spans="1:24">
      <c r="A58" s="1" t="s">
        <v>215</v>
      </c>
      <c r="B58" s="1" t="s">
        <v>101</v>
      </c>
      <c r="C58" s="46" t="s">
        <v>70</v>
      </c>
      <c r="D58" s="6" t="s">
        <v>164</v>
      </c>
      <c r="E58" s="3" t="s">
        <v>192</v>
      </c>
      <c r="F58" s="59" t="s">
        <v>77</v>
      </c>
      <c r="G58" s="1">
        <f>(All!K58+'Untruncated- All'!K58)/2</f>
        <v>0.16800000000000015</v>
      </c>
      <c r="H58" s="20">
        <f>SQRT(0.25*((All!L58)^2 + ('Untruncated- All'!L58)^2))</f>
        <v>0.15059631469594467</v>
      </c>
      <c r="I58" s="20">
        <f t="shared" si="0"/>
        <v>2.2679250000000001E-2</v>
      </c>
      <c r="J58" s="3">
        <v>0.47</v>
      </c>
      <c r="K58" s="20">
        <f t="shared" si="1"/>
        <v>9.1203999999999896E-2</v>
      </c>
    </row>
    <row r="59" spans="1:24">
      <c r="A59" s="1" t="s">
        <v>215</v>
      </c>
      <c r="B59" s="1" t="s">
        <v>101</v>
      </c>
      <c r="C59" s="46" t="s">
        <v>70</v>
      </c>
      <c r="D59" s="6" t="s">
        <v>165</v>
      </c>
      <c r="E59" s="3" t="s">
        <v>193</v>
      </c>
      <c r="F59" s="59" t="s">
        <v>197</v>
      </c>
      <c r="G59" s="1">
        <f>(All!K59+'Untruncated- All'!K59)/2</f>
        <v>0.94899999999999984</v>
      </c>
      <c r="H59" s="20">
        <f>SQRT(0.25*((All!L59)^2 + ('Untruncated- All'!L59)^2))</f>
        <v>0.18217985618613272</v>
      </c>
      <c r="I59" s="20">
        <f t="shared" si="0"/>
        <v>3.3189500000000004E-2</v>
      </c>
      <c r="J59" s="3">
        <v>0.97</v>
      </c>
      <c r="K59" s="20">
        <f t="shared" si="1"/>
        <v>4.4100000000000546E-4</v>
      </c>
    </row>
    <row r="60" spans="1:24">
      <c r="A60" s="1" t="s">
        <v>215</v>
      </c>
      <c r="B60" s="1" t="s">
        <v>101</v>
      </c>
      <c r="C60" s="46" t="s">
        <v>70</v>
      </c>
      <c r="D60" s="6" t="s">
        <v>12</v>
      </c>
      <c r="E60" s="3" t="s">
        <v>194</v>
      </c>
      <c r="F60" s="1" t="s">
        <v>198</v>
      </c>
      <c r="G60" s="1">
        <f>(All!K60+'Untruncated- All'!K60)/2</f>
        <v>-0.85249999999999915</v>
      </c>
      <c r="H60" s="20">
        <f>SQRT(0.25*((All!L60)^2 + ('Untruncated- All'!L60)^2))</f>
        <v>0.12019463382364456</v>
      </c>
      <c r="I60" s="20">
        <f t="shared" si="0"/>
        <v>1.4446750000000001E-2</v>
      </c>
      <c r="J60" s="3">
        <v>0.02</v>
      </c>
      <c r="K60" s="20">
        <f t="shared" si="1"/>
        <v>0.76125624999999852</v>
      </c>
    </row>
    <row r="61" spans="1:24">
      <c r="I61" s="18" t="s">
        <v>67</v>
      </c>
      <c r="J61" s="18"/>
      <c r="K61" s="18" t="s">
        <v>67</v>
      </c>
    </row>
    <row r="62" spans="1:24">
      <c r="I62" s="20">
        <f>SUM(I3:I60)</f>
        <v>2.3314569999285637</v>
      </c>
      <c r="J62" s="20"/>
      <c r="K62" s="20">
        <f>SUM(K3:K60)</f>
        <v>54.762657750000002</v>
      </c>
    </row>
    <row r="63" spans="1:24">
      <c r="I63" s="20"/>
      <c r="J63" s="20"/>
    </row>
    <row r="64" spans="1:24">
      <c r="I64" s="20"/>
      <c r="J64" s="19" t="s">
        <v>68</v>
      </c>
      <c r="K64" s="20">
        <f>SQRT(K62/58)</f>
        <v>0.97169118258340947</v>
      </c>
    </row>
    <row r="65" spans="9:11">
      <c r="I65" s="20"/>
      <c r="J65" s="19" t="s">
        <v>40</v>
      </c>
      <c r="K65" s="20">
        <f>SQRT(I62/58)</f>
        <v>0.20049322801912028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CE2B5-BCD2-4648-9496-A92D2115E5D9}">
  <dimension ref="A1:X77"/>
  <sheetViews>
    <sheetView tabSelected="1" workbookViewId="0">
      <selection activeCell="X49" sqref="X49"/>
    </sheetView>
  </sheetViews>
  <sheetFormatPr baseColWidth="10" defaultRowHeight="16"/>
  <cols>
    <col min="4" max="4" width="13.83203125" customWidth="1"/>
    <col min="9" max="9" width="13.5" customWidth="1"/>
    <col min="11" max="11" width="13.5" customWidth="1"/>
    <col min="17" max="17" width="14.83203125" customWidth="1"/>
    <col min="18" max="18" width="12.1640625" customWidth="1"/>
    <col min="21" max="21" width="12.1640625" customWidth="1"/>
    <col min="22" max="22" width="17.1640625" customWidth="1"/>
    <col min="24" max="24" width="15" customWidth="1"/>
  </cols>
  <sheetData>
    <row r="1" spans="1:24" ht="17">
      <c r="A1" s="10" t="s">
        <v>266</v>
      </c>
      <c r="P1" s="10" t="s">
        <v>267</v>
      </c>
    </row>
    <row r="2" spans="1:24">
      <c r="A2" s="1"/>
      <c r="B2" s="36" t="s">
        <v>30</v>
      </c>
      <c r="C2" s="36" t="s">
        <v>31</v>
      </c>
      <c r="D2" s="36" t="s">
        <v>32</v>
      </c>
      <c r="E2" s="36" t="s">
        <v>33</v>
      </c>
      <c r="F2" s="36" t="s">
        <v>34</v>
      </c>
      <c r="G2" s="36" t="s">
        <v>39</v>
      </c>
      <c r="H2" s="37" t="s">
        <v>40</v>
      </c>
      <c r="I2" s="36" t="s">
        <v>41</v>
      </c>
      <c r="J2" s="36" t="s">
        <v>42</v>
      </c>
      <c r="K2" s="36" t="s">
        <v>43</v>
      </c>
      <c r="O2" s="36" t="s">
        <v>30</v>
      </c>
      <c r="P2" s="36" t="s">
        <v>31</v>
      </c>
      <c r="Q2" s="36" t="s">
        <v>32</v>
      </c>
      <c r="R2" s="36" t="s">
        <v>33</v>
      </c>
      <c r="S2" s="36" t="s">
        <v>34</v>
      </c>
      <c r="T2" s="36" t="s">
        <v>39</v>
      </c>
      <c r="U2" s="37" t="s">
        <v>40</v>
      </c>
      <c r="V2" s="36" t="s">
        <v>41</v>
      </c>
      <c r="W2" s="36" t="s">
        <v>42</v>
      </c>
      <c r="X2" s="36" t="s">
        <v>43</v>
      </c>
    </row>
    <row r="3" spans="1:24">
      <c r="A3" s="1" t="s">
        <v>213</v>
      </c>
      <c r="B3" s="15" t="s">
        <v>82</v>
      </c>
      <c r="C3" s="15" t="s">
        <v>46</v>
      </c>
      <c r="D3" s="3" t="s">
        <v>5</v>
      </c>
      <c r="E3" s="3" t="s">
        <v>47</v>
      </c>
      <c r="F3" s="1" t="s">
        <v>56</v>
      </c>
      <c r="G3" s="20">
        <f>('All- Glycan Present'!J3+'Untruncated- All'!K3)/2</f>
        <v>0.14100000000000001</v>
      </c>
      <c r="H3" s="20">
        <f>SQRT(0.25*(('All- Glycan Present'!K3)^2 + ('Untruncated- All'!L3)^2))</f>
        <v>0.20879116360612582</v>
      </c>
      <c r="I3" s="20">
        <f>H3^2</f>
        <v>4.3593750000000001E-2</v>
      </c>
      <c r="J3" s="8">
        <v>-0.01</v>
      </c>
      <c r="K3" s="20">
        <f>(G3-J3)^2</f>
        <v>2.2801000000000005E-2</v>
      </c>
      <c r="N3" s="1" t="s">
        <v>213</v>
      </c>
      <c r="O3" s="1" t="s">
        <v>82</v>
      </c>
      <c r="P3" s="1" t="s">
        <v>46</v>
      </c>
      <c r="Q3" s="1" t="s">
        <v>5</v>
      </c>
      <c r="R3" s="1" t="s">
        <v>47</v>
      </c>
      <c r="S3" s="1" t="s">
        <v>56</v>
      </c>
      <c r="T3" s="20">
        <v>0.14100000000000001</v>
      </c>
      <c r="U3" s="20">
        <v>0.20879116360612582</v>
      </c>
      <c r="V3" s="20">
        <v>4.3593750000000001E-2</v>
      </c>
      <c r="W3" s="20">
        <v>-0.01</v>
      </c>
      <c r="X3" s="20">
        <v>2.2801000000000005E-2</v>
      </c>
    </row>
    <row r="4" spans="1:24">
      <c r="A4" s="1" t="s">
        <v>213</v>
      </c>
      <c r="B4" s="15" t="s">
        <v>82</v>
      </c>
      <c r="C4" s="15" t="s">
        <v>46</v>
      </c>
      <c r="D4" s="3" t="s">
        <v>7</v>
      </c>
      <c r="E4" s="3" t="s">
        <v>48</v>
      </c>
      <c r="F4" s="1" t="s">
        <v>57</v>
      </c>
      <c r="G4" s="20">
        <f>('All- Glycan Present'!J4+'Untruncated- All'!K4)/2</f>
        <v>-0.24300000000000033</v>
      </c>
      <c r="H4" s="20">
        <f>SQRT(0.25*(('All- Glycan Present'!K4)^2 + ('Untruncated- All'!L4)^2))</f>
        <v>0.18681073309636145</v>
      </c>
      <c r="I4" s="20">
        <f t="shared" ref="I4:I60" si="0">H4^2</f>
        <v>3.4898249999999999E-2</v>
      </c>
      <c r="J4" s="8">
        <v>0.7</v>
      </c>
      <c r="K4" s="20">
        <f t="shared" ref="K4:K67" si="1">(G4-J4)^2</f>
        <v>0.88924900000000051</v>
      </c>
      <c r="N4" s="1" t="s">
        <v>213</v>
      </c>
      <c r="O4" s="1" t="s">
        <v>82</v>
      </c>
      <c r="P4" s="1" t="s">
        <v>46</v>
      </c>
      <c r="Q4" s="1" t="s">
        <v>7</v>
      </c>
      <c r="R4" s="1" t="s">
        <v>48</v>
      </c>
      <c r="S4" s="1" t="s">
        <v>57</v>
      </c>
      <c r="T4" s="20">
        <v>-0.24300000000000033</v>
      </c>
      <c r="U4" s="20">
        <v>0.18681073309636145</v>
      </c>
      <c r="V4" s="20">
        <v>3.4898249999999999E-2</v>
      </c>
      <c r="W4" s="20">
        <v>0.7</v>
      </c>
      <c r="X4" s="20">
        <v>0.88924900000000051</v>
      </c>
    </row>
    <row r="5" spans="1:24">
      <c r="A5" s="1" t="s">
        <v>213</v>
      </c>
      <c r="B5" s="15" t="s">
        <v>82</v>
      </c>
      <c r="C5" s="15" t="s">
        <v>46</v>
      </c>
      <c r="D5" s="3" t="s">
        <v>9</v>
      </c>
      <c r="E5" s="3" t="s">
        <v>83</v>
      </c>
      <c r="F5" s="1" t="s">
        <v>89</v>
      </c>
      <c r="G5" s="20">
        <f>('All- Glycan Present'!J5+'Untruncated- All'!K5)/2</f>
        <v>3.4664999999999999</v>
      </c>
      <c r="H5" s="20">
        <f>SQRT(0.25*(('All- Glycan Present'!K5)^2 + ('Untruncated- All'!L5)^2))</f>
        <v>0.33349550221854568</v>
      </c>
      <c r="I5" s="20">
        <f t="shared" si="0"/>
        <v>0.11121925000000001</v>
      </c>
      <c r="J5" s="8">
        <v>1.19</v>
      </c>
      <c r="K5" s="20">
        <f t="shared" si="1"/>
        <v>5.1824522499999999</v>
      </c>
      <c r="N5" s="1" t="s">
        <v>213</v>
      </c>
      <c r="O5" s="1" t="s">
        <v>82</v>
      </c>
      <c r="P5" s="1" t="s">
        <v>46</v>
      </c>
      <c r="Q5" s="1" t="s">
        <v>9</v>
      </c>
      <c r="R5" s="1" t="s">
        <v>83</v>
      </c>
      <c r="S5" s="1" t="s">
        <v>89</v>
      </c>
      <c r="T5" s="20">
        <v>3.4664999999999999</v>
      </c>
      <c r="U5" s="20">
        <v>0.33349550221854568</v>
      </c>
      <c r="V5" s="20">
        <v>0.11121925000000001</v>
      </c>
      <c r="W5" s="20">
        <v>1.19</v>
      </c>
      <c r="X5" s="20">
        <v>5.1824522499999999</v>
      </c>
    </row>
    <row r="6" spans="1:24">
      <c r="A6" s="1" t="s">
        <v>213</v>
      </c>
      <c r="B6" s="15" t="s">
        <v>101</v>
      </c>
      <c r="C6" s="15" t="s">
        <v>46</v>
      </c>
      <c r="D6" s="3" t="s">
        <v>11</v>
      </c>
      <c r="E6" s="3" t="s">
        <v>84</v>
      </c>
      <c r="F6" s="1" t="s">
        <v>90</v>
      </c>
      <c r="G6" s="20">
        <f>('All- Glycan Present'!J6+'Untruncated- All'!K6)/2</f>
        <v>0.77500000000000213</v>
      </c>
      <c r="H6" s="20">
        <f>SQRT(0.25*(('All- Glycan Present'!K6)^2 + ('Untruncated- All'!L6)^2))</f>
        <v>0.25949662810911439</v>
      </c>
      <c r="I6" s="20">
        <f t="shared" si="0"/>
        <v>6.7338500000000023E-2</v>
      </c>
      <c r="J6" s="8">
        <v>1.28</v>
      </c>
      <c r="K6" s="20">
        <f t="shared" si="1"/>
        <v>0.25502499999999789</v>
      </c>
      <c r="N6" s="1" t="s">
        <v>213</v>
      </c>
      <c r="O6" s="1" t="s">
        <v>101</v>
      </c>
      <c r="P6" s="1" t="s">
        <v>46</v>
      </c>
      <c r="Q6" s="1" t="s">
        <v>11</v>
      </c>
      <c r="R6" s="1" t="s">
        <v>84</v>
      </c>
      <c r="S6" s="1" t="s">
        <v>90</v>
      </c>
      <c r="T6" s="20">
        <v>0.77500000000000213</v>
      </c>
      <c r="U6" s="20">
        <v>0.25949662810911439</v>
      </c>
      <c r="V6" s="20">
        <v>6.7338500000000023E-2</v>
      </c>
      <c r="W6" s="20">
        <v>1.28</v>
      </c>
      <c r="X6" s="20">
        <v>0.25502499999999789</v>
      </c>
    </row>
    <row r="7" spans="1:24">
      <c r="A7" s="1" t="s">
        <v>213</v>
      </c>
      <c r="B7" s="15" t="s">
        <v>82</v>
      </c>
      <c r="C7" s="15" t="s">
        <v>46</v>
      </c>
      <c r="D7" s="3" t="s">
        <v>13</v>
      </c>
      <c r="E7" s="3" t="s">
        <v>49</v>
      </c>
      <c r="F7" s="1" t="s">
        <v>58</v>
      </c>
      <c r="G7" s="20">
        <f>('All- Glycan Present'!J7+'Untruncated- All'!K7)/2</f>
        <v>0.61449999999999871</v>
      </c>
      <c r="H7" s="20">
        <f>SQRT(0.25*(('All- Glycan Present'!K7)^2 + ('Untruncated- All'!L7)^2))</f>
        <v>0.1322563798083102</v>
      </c>
      <c r="I7" s="20">
        <f t="shared" si="0"/>
        <v>1.7491750000000004E-2</v>
      </c>
      <c r="J7" s="8">
        <v>-1.28</v>
      </c>
      <c r="K7" s="20">
        <f t="shared" si="1"/>
        <v>3.5891302499999953</v>
      </c>
      <c r="N7" s="1" t="s">
        <v>213</v>
      </c>
      <c r="O7" s="1" t="s">
        <v>82</v>
      </c>
      <c r="P7" s="1" t="s">
        <v>46</v>
      </c>
      <c r="Q7" s="1" t="s">
        <v>13</v>
      </c>
      <c r="R7" s="1" t="s">
        <v>49</v>
      </c>
      <c r="S7" s="1" t="s">
        <v>58</v>
      </c>
      <c r="T7" s="20">
        <v>0.61449999999999871</v>
      </c>
      <c r="U7" s="20">
        <v>0.1322563798083102</v>
      </c>
      <c r="V7" s="20">
        <v>1.7491750000000004E-2</v>
      </c>
      <c r="W7" s="20">
        <v>-1.28</v>
      </c>
      <c r="X7" s="20">
        <v>3.5891302499999953</v>
      </c>
    </row>
    <row r="8" spans="1:24">
      <c r="A8" s="1" t="s">
        <v>213</v>
      </c>
      <c r="B8" s="15" t="s">
        <v>82</v>
      </c>
      <c r="C8" s="15" t="s">
        <v>46</v>
      </c>
      <c r="D8" s="3" t="s">
        <v>15</v>
      </c>
      <c r="E8" s="3" t="s">
        <v>50</v>
      </c>
      <c r="F8" s="1" t="s">
        <v>59</v>
      </c>
      <c r="G8" s="20">
        <f>('All- Glycan Present'!J8+'Untruncated- All'!K8)/2</f>
        <v>1.6435000000000004</v>
      </c>
      <c r="H8" s="20">
        <f>SQRT(0.25*(('All- Glycan Present'!K8)^2 + ('Untruncated- All'!L8)^2))</f>
        <v>0.19274789233607717</v>
      </c>
      <c r="I8" s="20">
        <f t="shared" si="0"/>
        <v>3.7151749999999997E-2</v>
      </c>
      <c r="J8" s="8">
        <v>1.26</v>
      </c>
      <c r="K8" s="20">
        <f t="shared" si="1"/>
        <v>0.14707225000000029</v>
      </c>
      <c r="N8" s="1" t="s">
        <v>213</v>
      </c>
      <c r="O8" s="1" t="s">
        <v>82</v>
      </c>
      <c r="P8" s="1" t="s">
        <v>46</v>
      </c>
      <c r="Q8" s="1" t="s">
        <v>15</v>
      </c>
      <c r="R8" s="1" t="s">
        <v>50</v>
      </c>
      <c r="S8" s="1" t="s">
        <v>59</v>
      </c>
      <c r="T8" s="20">
        <v>1.6435000000000004</v>
      </c>
      <c r="U8" s="20">
        <v>0.19274789233607717</v>
      </c>
      <c r="V8" s="20">
        <v>3.7151749999999997E-2</v>
      </c>
      <c r="W8" s="20">
        <v>1.26</v>
      </c>
      <c r="X8" s="20">
        <v>0.14707225000000029</v>
      </c>
    </row>
    <row r="9" spans="1:24">
      <c r="A9" s="1" t="s">
        <v>213</v>
      </c>
      <c r="B9" s="15" t="s">
        <v>82</v>
      </c>
      <c r="C9" s="15" t="s">
        <v>46</v>
      </c>
      <c r="D9" s="3" t="s">
        <v>16</v>
      </c>
      <c r="E9" s="3" t="s">
        <v>51</v>
      </c>
      <c r="F9" s="1" t="s">
        <v>60</v>
      </c>
      <c r="G9" s="20">
        <f>('All- Glycan Present'!J9+'Untruncated- All'!K9)/2</f>
        <v>0.6745000000000001</v>
      </c>
      <c r="H9" s="20">
        <f>SQRT(0.25*(('All- Glycan Present'!K9)^2 + ('Untruncated- All'!L9)^2))</f>
        <v>0.13830039768561767</v>
      </c>
      <c r="I9" s="20">
        <f t="shared" si="0"/>
        <v>1.9127000000000002E-2</v>
      </c>
      <c r="J9" s="8">
        <v>1.35</v>
      </c>
      <c r="K9" s="20">
        <f t="shared" si="1"/>
        <v>0.45630024999999996</v>
      </c>
      <c r="N9" s="1" t="s">
        <v>213</v>
      </c>
      <c r="O9" s="1" t="s">
        <v>82</v>
      </c>
      <c r="P9" s="1" t="s">
        <v>46</v>
      </c>
      <c r="Q9" s="1" t="s">
        <v>16</v>
      </c>
      <c r="R9" s="1" t="s">
        <v>51</v>
      </c>
      <c r="S9" s="1" t="s">
        <v>60</v>
      </c>
      <c r="T9" s="20">
        <v>0.6745000000000001</v>
      </c>
      <c r="U9" s="20">
        <v>0.13830039768561767</v>
      </c>
      <c r="V9" s="20">
        <v>1.9127000000000002E-2</v>
      </c>
      <c r="W9" s="20">
        <v>1.35</v>
      </c>
      <c r="X9" s="20">
        <v>0.45630024999999996</v>
      </c>
    </row>
    <row r="10" spans="1:24">
      <c r="A10" s="1" t="s">
        <v>213</v>
      </c>
      <c r="B10" s="15" t="s">
        <v>82</v>
      </c>
      <c r="C10" s="15" t="s">
        <v>46</v>
      </c>
      <c r="D10" s="3" t="s">
        <v>17</v>
      </c>
      <c r="E10" s="3" t="s">
        <v>52</v>
      </c>
      <c r="F10" s="1" t="s">
        <v>61</v>
      </c>
      <c r="G10" s="20">
        <f>('All- Glycan Present'!J10+'Untruncated- All'!K10)/2</f>
        <v>0.53900000000000148</v>
      </c>
      <c r="H10" s="20">
        <f>SQRT(0.25*(('All- Glycan Present'!K10)^2 + ('Untruncated- All'!L10)^2))</f>
        <v>0.26345303186716224</v>
      </c>
      <c r="I10" s="20">
        <f t="shared" si="0"/>
        <v>6.9407499999999997E-2</v>
      </c>
      <c r="J10" s="8">
        <v>1.76</v>
      </c>
      <c r="K10" s="20">
        <f t="shared" si="1"/>
        <v>1.4908409999999963</v>
      </c>
      <c r="N10" s="1" t="s">
        <v>213</v>
      </c>
      <c r="O10" s="1" t="s">
        <v>82</v>
      </c>
      <c r="P10" s="1" t="s">
        <v>46</v>
      </c>
      <c r="Q10" s="1" t="s">
        <v>17</v>
      </c>
      <c r="R10" s="1" t="s">
        <v>52</v>
      </c>
      <c r="S10" s="1" t="s">
        <v>61</v>
      </c>
      <c r="T10" s="20">
        <v>0.53900000000000148</v>
      </c>
      <c r="U10" s="20">
        <v>0.26345303186716224</v>
      </c>
      <c r="V10" s="20">
        <v>6.9407499999999997E-2</v>
      </c>
      <c r="W10" s="20">
        <v>1.76</v>
      </c>
      <c r="X10" s="20">
        <v>1.4908409999999963</v>
      </c>
    </row>
    <row r="11" spans="1:24">
      <c r="A11" s="1" t="s">
        <v>213</v>
      </c>
      <c r="B11" s="15" t="s">
        <v>82</v>
      </c>
      <c r="C11" s="15" t="s">
        <v>46</v>
      </c>
      <c r="D11" s="3" t="s">
        <v>18</v>
      </c>
      <c r="E11" s="3" t="s">
        <v>85</v>
      </c>
      <c r="F11" s="1" t="s">
        <v>91</v>
      </c>
      <c r="G11" s="20">
        <f>('All- Glycan Present'!J11+'Untruncated- All'!K11)/2</f>
        <v>0.23999999999999977</v>
      </c>
      <c r="H11" s="20">
        <f>SQRT(0.25*(('All- Glycan Present'!K11)^2 + ('Untruncated- All'!L11)^2))</f>
        <v>0.25511272018462744</v>
      </c>
      <c r="I11" s="20">
        <f t="shared" si="0"/>
        <v>6.5082500000000015E-2</v>
      </c>
      <c r="J11" s="8">
        <v>0.54</v>
      </c>
      <c r="K11" s="20">
        <f t="shared" si="1"/>
        <v>9.0000000000000163E-2</v>
      </c>
      <c r="N11" s="1" t="s">
        <v>213</v>
      </c>
      <c r="O11" s="1" t="s">
        <v>82</v>
      </c>
      <c r="P11" s="1" t="s">
        <v>46</v>
      </c>
      <c r="Q11" s="1" t="s">
        <v>18</v>
      </c>
      <c r="R11" s="1" t="s">
        <v>85</v>
      </c>
      <c r="S11" s="1" t="s">
        <v>91</v>
      </c>
      <c r="T11" s="20">
        <v>0.23999999999999977</v>
      </c>
      <c r="U11" s="20">
        <v>0.25511272018462744</v>
      </c>
      <c r="V11" s="20">
        <v>6.5082500000000015E-2</v>
      </c>
      <c r="W11" s="20">
        <v>0.54</v>
      </c>
      <c r="X11" s="20">
        <v>9.0000000000000163E-2</v>
      </c>
    </row>
    <row r="12" spans="1:24">
      <c r="A12" s="1" t="s">
        <v>213</v>
      </c>
      <c r="B12" s="15" t="s">
        <v>82</v>
      </c>
      <c r="C12" s="15" t="s">
        <v>46</v>
      </c>
      <c r="D12" s="3" t="s">
        <v>20</v>
      </c>
      <c r="E12" s="3" t="s">
        <v>53</v>
      </c>
      <c r="F12" s="1" t="s">
        <v>62</v>
      </c>
      <c r="G12" s="20">
        <f>('All- Glycan Present'!J12+'Untruncated- All'!K12)/2</f>
        <v>0.81149999999999878</v>
      </c>
      <c r="H12" s="20">
        <f>SQRT(0.25*(('All- Glycan Present'!K12)^2 + ('Untruncated- All'!L12)^2))</f>
        <v>0.12161106035225577</v>
      </c>
      <c r="I12" s="20">
        <f t="shared" si="0"/>
        <v>1.4789249999999997E-2</v>
      </c>
      <c r="J12" s="8">
        <v>-0.35</v>
      </c>
      <c r="K12" s="20">
        <f t="shared" si="1"/>
        <v>1.3490822499999973</v>
      </c>
      <c r="N12" s="1" t="s">
        <v>213</v>
      </c>
      <c r="O12" s="1" t="s">
        <v>82</v>
      </c>
      <c r="P12" s="1" t="s">
        <v>46</v>
      </c>
      <c r="Q12" s="1" t="s">
        <v>20</v>
      </c>
      <c r="R12" s="1" t="s">
        <v>53</v>
      </c>
      <c r="S12" s="1" t="s">
        <v>62</v>
      </c>
      <c r="T12" s="20">
        <v>0.81149999999999878</v>
      </c>
      <c r="U12" s="20">
        <v>0.12161106035225577</v>
      </c>
      <c r="V12" s="20">
        <v>1.4789249999999997E-2</v>
      </c>
      <c r="W12" s="20">
        <v>-0.35</v>
      </c>
      <c r="X12" s="20">
        <v>1.3490822499999973</v>
      </c>
    </row>
    <row r="13" spans="1:24">
      <c r="A13" s="1" t="s">
        <v>213</v>
      </c>
      <c r="B13" s="15" t="s">
        <v>82</v>
      </c>
      <c r="C13" s="15" t="s">
        <v>46</v>
      </c>
      <c r="D13" s="3" t="s">
        <v>22</v>
      </c>
      <c r="E13" s="3" t="s">
        <v>54</v>
      </c>
      <c r="F13" s="1" t="s">
        <v>63</v>
      </c>
      <c r="G13" s="20">
        <f>('All- Glycan Present'!J13+'Untruncated- All'!K13)/2</f>
        <v>-4.5500000000000096E-2</v>
      </c>
      <c r="H13" s="20">
        <f>SQRT(0.25*(('All- Glycan Present'!K13)^2 + ('Untruncated- All'!L13)^2))</f>
        <v>0.12615466697669175</v>
      </c>
      <c r="I13" s="20">
        <f t="shared" si="0"/>
        <v>1.5915000000000002E-2</v>
      </c>
      <c r="J13" s="8">
        <v>0.52</v>
      </c>
      <c r="K13" s="20">
        <f t="shared" si="1"/>
        <v>0.31979025000000011</v>
      </c>
      <c r="N13" s="1" t="s">
        <v>213</v>
      </c>
      <c r="O13" s="1" t="s">
        <v>82</v>
      </c>
      <c r="P13" s="1" t="s">
        <v>46</v>
      </c>
      <c r="Q13" s="1" t="s">
        <v>22</v>
      </c>
      <c r="R13" s="1" t="s">
        <v>54</v>
      </c>
      <c r="S13" s="1" t="s">
        <v>63</v>
      </c>
      <c r="T13" s="20">
        <v>-4.5500000000000096E-2</v>
      </c>
      <c r="U13" s="20">
        <v>0.12615466697669175</v>
      </c>
      <c r="V13" s="20">
        <v>1.5915000000000002E-2</v>
      </c>
      <c r="W13" s="20">
        <v>0.52</v>
      </c>
      <c r="X13" s="20">
        <v>0.31979025000000011</v>
      </c>
    </row>
    <row r="14" spans="1:24">
      <c r="A14" s="1" t="s">
        <v>213</v>
      </c>
      <c r="B14" s="15" t="s">
        <v>82</v>
      </c>
      <c r="C14" s="15" t="s">
        <v>46</v>
      </c>
      <c r="D14" s="3" t="s">
        <v>23</v>
      </c>
      <c r="E14" s="3" t="s">
        <v>55</v>
      </c>
      <c r="F14" s="1" t="s">
        <v>64</v>
      </c>
      <c r="G14" s="20">
        <f>('All- Glycan Present'!J14+'Untruncated- All'!K14)/2</f>
        <v>0.19649999999999945</v>
      </c>
      <c r="H14" s="20">
        <f>SQRT(0.25*(('All- Glycan Present'!K14)^2 + ('Untruncated- All'!L14)^2))</f>
        <v>0.19120473320501247</v>
      </c>
      <c r="I14" s="20">
        <f t="shared" si="0"/>
        <v>3.6559249999999995E-2</v>
      </c>
      <c r="J14" s="8">
        <v>1.08</v>
      </c>
      <c r="K14" s="20">
        <f t="shared" si="1"/>
        <v>0.78057225000000108</v>
      </c>
      <c r="N14" s="1" t="s">
        <v>213</v>
      </c>
      <c r="O14" s="1" t="s">
        <v>82</v>
      </c>
      <c r="P14" s="1" t="s">
        <v>46</v>
      </c>
      <c r="Q14" s="1" t="s">
        <v>23</v>
      </c>
      <c r="R14" s="1" t="s">
        <v>55</v>
      </c>
      <c r="S14" s="1" t="s">
        <v>64</v>
      </c>
      <c r="T14" s="20">
        <v>0.19649999999999945</v>
      </c>
      <c r="U14" s="20">
        <v>0.19120473320501247</v>
      </c>
      <c r="V14" s="20">
        <v>3.6559249999999995E-2</v>
      </c>
      <c r="W14" s="20">
        <v>1.08</v>
      </c>
      <c r="X14" s="20">
        <v>0.78057225000000108</v>
      </c>
    </row>
    <row r="15" spans="1:24">
      <c r="A15" s="1" t="s">
        <v>213</v>
      </c>
      <c r="B15" s="15" t="s">
        <v>101</v>
      </c>
      <c r="C15" s="15" t="s">
        <v>46</v>
      </c>
      <c r="D15" s="41" t="s">
        <v>24</v>
      </c>
      <c r="E15" s="8" t="s">
        <v>86</v>
      </c>
      <c r="F15" s="20" t="s">
        <v>92</v>
      </c>
      <c r="G15" s="20">
        <f>('All- Glycan Present'!J15+'Untruncated- All'!K15)/2</f>
        <v>-0.31299999999999972</v>
      </c>
      <c r="H15" s="20">
        <f>SQRT(0.25*(('All- Glycan Present'!K15)^2 + ('Untruncated- All'!L15)^2))</f>
        <v>0.22530590181371191</v>
      </c>
      <c r="I15" s="20">
        <f t="shared" si="0"/>
        <v>5.0762749392089988E-2</v>
      </c>
      <c r="J15" s="8">
        <v>1.42</v>
      </c>
      <c r="K15" s="20">
        <f t="shared" si="1"/>
        <v>3.0032889999999988</v>
      </c>
      <c r="N15" s="1" t="s">
        <v>213</v>
      </c>
      <c r="O15" s="1" t="s">
        <v>82</v>
      </c>
      <c r="P15" s="1" t="s">
        <v>46</v>
      </c>
      <c r="Q15" s="1" t="s">
        <v>27</v>
      </c>
      <c r="R15" s="1" t="s">
        <v>28</v>
      </c>
      <c r="S15" s="1" t="s">
        <v>65</v>
      </c>
      <c r="T15" s="20">
        <v>0.41699999999999982</v>
      </c>
      <c r="U15" s="20">
        <v>9.2590495886800378E-2</v>
      </c>
      <c r="V15" s="20">
        <v>8.5729999285635971E-3</v>
      </c>
      <c r="W15" s="20">
        <v>-0.21</v>
      </c>
      <c r="X15" s="20">
        <v>0.39312899999999973</v>
      </c>
    </row>
    <row r="16" spans="1:24">
      <c r="A16" s="1" t="s">
        <v>213</v>
      </c>
      <c r="B16" s="15" t="s">
        <v>82</v>
      </c>
      <c r="C16" s="15" t="s">
        <v>46</v>
      </c>
      <c r="D16" s="8" t="s">
        <v>27</v>
      </c>
      <c r="E16" s="9" t="s">
        <v>28</v>
      </c>
      <c r="F16" s="1" t="s">
        <v>65</v>
      </c>
      <c r="G16" s="20">
        <f>('All- Glycan Present'!J16+'Untruncated- All'!K16)/2</f>
        <v>0.41699999999999982</v>
      </c>
      <c r="H16" s="20">
        <f>SQRT(0.25*(('All- Glycan Present'!K16)^2 + ('Untruncated- All'!L16)^2))</f>
        <v>9.2590495886800378E-2</v>
      </c>
      <c r="I16" s="20">
        <f t="shared" si="0"/>
        <v>8.5729999285635971E-3</v>
      </c>
      <c r="J16" s="50">
        <v>-0.21</v>
      </c>
      <c r="K16" s="20">
        <f t="shared" si="1"/>
        <v>0.39312899999999973</v>
      </c>
      <c r="N16" s="1" t="s">
        <v>213</v>
      </c>
      <c r="O16" s="1" t="s">
        <v>82</v>
      </c>
      <c r="P16" s="1" t="s">
        <v>46</v>
      </c>
      <c r="Q16" s="1" t="s">
        <v>25</v>
      </c>
      <c r="R16" s="1" t="s">
        <v>87</v>
      </c>
      <c r="S16" s="1" t="s">
        <v>93</v>
      </c>
      <c r="T16" s="20">
        <v>1.5409999999999968</v>
      </c>
      <c r="U16" s="20">
        <v>0.22872800440698118</v>
      </c>
      <c r="V16" s="20">
        <v>5.2316500000000002E-2</v>
      </c>
      <c r="W16" s="20">
        <v>1.1100000000000001</v>
      </c>
      <c r="X16" s="20">
        <v>0.18576099999999718</v>
      </c>
    </row>
    <row r="17" spans="1:24">
      <c r="A17" s="1" t="s">
        <v>213</v>
      </c>
      <c r="B17" s="15" t="s">
        <v>82</v>
      </c>
      <c r="C17" s="15" t="s">
        <v>46</v>
      </c>
      <c r="D17" s="3" t="s">
        <v>25</v>
      </c>
      <c r="E17" s="3" t="s">
        <v>87</v>
      </c>
      <c r="F17" s="1" t="s">
        <v>93</v>
      </c>
      <c r="G17" s="20">
        <f>('All- Glycan Present'!J17+'Untruncated- All'!K17)/2</f>
        <v>1.5409999999999968</v>
      </c>
      <c r="H17" s="20">
        <f>SQRT(0.25*(('All- Glycan Present'!K17)^2 + ('Untruncated- All'!L17)^2))</f>
        <v>0.22872800440698118</v>
      </c>
      <c r="I17" s="20">
        <f t="shared" si="0"/>
        <v>5.2316500000000002E-2</v>
      </c>
      <c r="J17" s="8">
        <v>1.1100000000000001</v>
      </c>
      <c r="K17" s="20">
        <f t="shared" si="1"/>
        <v>0.18576099999999718</v>
      </c>
      <c r="N17" s="1" t="s">
        <v>213</v>
      </c>
      <c r="O17" s="1" t="s">
        <v>101</v>
      </c>
      <c r="P17" s="1" t="s">
        <v>46</v>
      </c>
      <c r="Q17" s="1" t="s">
        <v>26</v>
      </c>
      <c r="R17" s="1" t="s">
        <v>88</v>
      </c>
      <c r="S17" s="1" t="s">
        <v>94</v>
      </c>
      <c r="T17" s="20">
        <v>4.5094999999999956</v>
      </c>
      <c r="U17" s="20">
        <v>0.29271957570343671</v>
      </c>
      <c r="V17" s="20">
        <v>8.5684750000000018E-2</v>
      </c>
      <c r="W17" s="20">
        <v>4.45</v>
      </c>
      <c r="X17" s="20">
        <v>3.5402499999994579E-3</v>
      </c>
    </row>
    <row r="18" spans="1:24">
      <c r="A18" s="1" t="s">
        <v>213</v>
      </c>
      <c r="B18" s="15" t="s">
        <v>101</v>
      </c>
      <c r="C18" s="15" t="s">
        <v>46</v>
      </c>
      <c r="D18" s="3" t="s">
        <v>26</v>
      </c>
      <c r="E18" s="3" t="s">
        <v>88</v>
      </c>
      <c r="F18" s="1" t="s">
        <v>94</v>
      </c>
      <c r="G18" s="20">
        <f>('All- Glycan Present'!J18+'Untruncated- All'!K18)/2</f>
        <v>4.5094999999999956</v>
      </c>
      <c r="H18" s="20">
        <f>SQRT(0.25*(('All- Glycan Present'!K18)^2 + ('Untruncated- All'!L18)^2))</f>
        <v>0.29271957570343671</v>
      </c>
      <c r="I18" s="20">
        <f t="shared" si="0"/>
        <v>8.5684750000000018E-2</v>
      </c>
      <c r="J18" s="8">
        <v>4.45</v>
      </c>
      <c r="K18" s="20">
        <f t="shared" si="1"/>
        <v>3.5402499999994579E-3</v>
      </c>
      <c r="N18" s="1" t="s">
        <v>213</v>
      </c>
      <c r="O18" s="1" t="s">
        <v>82</v>
      </c>
      <c r="P18" s="1" t="s">
        <v>70</v>
      </c>
      <c r="Q18" s="1" t="s">
        <v>4</v>
      </c>
      <c r="R18" s="1" t="s">
        <v>71</v>
      </c>
      <c r="S18" s="1" t="s">
        <v>75</v>
      </c>
      <c r="T18" s="20">
        <v>0.10299999999999798</v>
      </c>
      <c r="U18" s="20">
        <v>0.11273530946424905</v>
      </c>
      <c r="V18" s="20">
        <v>1.270925E-2</v>
      </c>
      <c r="W18" s="20">
        <v>-0.24</v>
      </c>
      <c r="X18" s="20">
        <v>0.11764899999999862</v>
      </c>
    </row>
    <row r="19" spans="1:24">
      <c r="A19" s="1" t="s">
        <v>213</v>
      </c>
      <c r="B19" s="15" t="s">
        <v>82</v>
      </c>
      <c r="C19" s="1" t="s">
        <v>70</v>
      </c>
      <c r="D19" s="3" t="s">
        <v>4</v>
      </c>
      <c r="E19" s="3" t="s">
        <v>71</v>
      </c>
      <c r="F19" s="1" t="s">
        <v>75</v>
      </c>
      <c r="G19" s="20">
        <f>('All- Glycan Present'!J19+'Untruncated- All'!K19)/2</f>
        <v>0.10299999999999798</v>
      </c>
      <c r="H19" s="20">
        <f>SQRT(0.25*(('All- Glycan Present'!K19)^2 + ('Untruncated- All'!L19)^2))</f>
        <v>0.11273530946424905</v>
      </c>
      <c r="I19" s="20">
        <f t="shared" si="0"/>
        <v>1.270925E-2</v>
      </c>
      <c r="J19" s="8">
        <v>-0.24</v>
      </c>
      <c r="K19" s="20">
        <f t="shared" si="1"/>
        <v>0.11764899999999862</v>
      </c>
      <c r="N19" s="1" t="s">
        <v>213</v>
      </c>
      <c r="O19" s="1" t="s">
        <v>82</v>
      </c>
      <c r="P19" s="1" t="s">
        <v>70</v>
      </c>
      <c r="Q19" s="1" t="s">
        <v>12</v>
      </c>
      <c r="R19" s="1" t="s">
        <v>104</v>
      </c>
      <c r="S19" s="1" t="s">
        <v>106</v>
      </c>
      <c r="T19" s="20">
        <v>-0.29649999999999999</v>
      </c>
      <c r="U19" s="20">
        <v>0.19036149820801473</v>
      </c>
      <c r="V19" s="20">
        <v>3.6237499999999999E-2</v>
      </c>
      <c r="W19" s="20">
        <v>0.85</v>
      </c>
      <c r="X19" s="20">
        <v>1.3144622500000003</v>
      </c>
    </row>
    <row r="20" spans="1:24">
      <c r="A20" s="1" t="s">
        <v>213</v>
      </c>
      <c r="B20" s="15" t="s">
        <v>101</v>
      </c>
      <c r="C20" s="20" t="s">
        <v>70</v>
      </c>
      <c r="D20" s="42" t="s">
        <v>6</v>
      </c>
      <c r="E20" s="8" t="s">
        <v>72</v>
      </c>
      <c r="F20" s="20" t="s">
        <v>76</v>
      </c>
      <c r="G20" s="20">
        <f>('All- Glycan Present'!J20+'Untruncated- All'!K20)/2</f>
        <v>-0.32200000000000006</v>
      </c>
      <c r="H20" s="20">
        <f>SQRT(0.25*(('All- Glycan Present'!K20)^2 + ('Untruncated- All'!L20)^2))</f>
        <v>7.7812274290600197E-2</v>
      </c>
      <c r="I20" s="20">
        <f t="shared" si="0"/>
        <v>6.0547500302756008E-3</v>
      </c>
      <c r="J20" s="8">
        <v>0.97</v>
      </c>
      <c r="K20" s="20">
        <f t="shared" si="1"/>
        <v>1.6692640000000001</v>
      </c>
      <c r="N20" s="1" t="s">
        <v>213</v>
      </c>
      <c r="O20" s="1" t="s">
        <v>82</v>
      </c>
      <c r="P20" s="1" t="s">
        <v>70</v>
      </c>
      <c r="Q20" s="1" t="s">
        <v>14</v>
      </c>
      <c r="R20" s="1" t="s">
        <v>74</v>
      </c>
      <c r="S20" s="1" t="s">
        <v>78</v>
      </c>
      <c r="T20" s="20">
        <v>-0.81899999999999995</v>
      </c>
      <c r="U20" s="20">
        <v>0.18256711094827568</v>
      </c>
      <c r="V20" s="20">
        <v>3.3330750000000006E-2</v>
      </c>
      <c r="W20" s="20">
        <v>-0.78</v>
      </c>
      <c r="X20" s="20">
        <v>1.5209999999999941E-3</v>
      </c>
    </row>
    <row r="21" spans="1:24">
      <c r="A21" s="1" t="s">
        <v>213</v>
      </c>
      <c r="B21" s="15" t="s">
        <v>101</v>
      </c>
      <c r="C21" s="20" t="s">
        <v>70</v>
      </c>
      <c r="D21" s="42" t="s">
        <v>8</v>
      </c>
      <c r="E21" s="8" t="s">
        <v>73</v>
      </c>
      <c r="F21" s="20" t="s">
        <v>77</v>
      </c>
      <c r="G21" s="20">
        <f>('All- Glycan Present'!J21+'Untruncated- All'!K21)/2</f>
        <v>-0.12750000000000128</v>
      </c>
      <c r="H21" s="20">
        <f>SQRT(0.25*(('All- Glycan Present'!K21)^2 + ('Untruncated- All'!L21)^2))</f>
        <v>8.9456694814642565E-2</v>
      </c>
      <c r="I21" s="20">
        <f t="shared" si="0"/>
        <v>8.0025002471600971E-3</v>
      </c>
      <c r="J21" s="8">
        <v>-0.15</v>
      </c>
      <c r="K21" s="20">
        <f t="shared" si="1"/>
        <v>5.0624999999994218E-4</v>
      </c>
      <c r="N21" s="1" t="s">
        <v>214</v>
      </c>
      <c r="O21" s="1" t="s">
        <v>101</v>
      </c>
      <c r="P21" s="1" t="s">
        <v>46</v>
      </c>
      <c r="Q21" s="1" t="s">
        <v>11</v>
      </c>
      <c r="R21" s="1" t="s">
        <v>84</v>
      </c>
      <c r="S21" s="1" t="s">
        <v>90</v>
      </c>
      <c r="T21" s="20">
        <v>1.2460000000000022</v>
      </c>
      <c r="U21" s="20">
        <v>0.25723432896874399</v>
      </c>
      <c r="V21" s="20">
        <v>6.6169500000000006E-2</v>
      </c>
      <c r="W21" s="20">
        <v>1.33</v>
      </c>
      <c r="X21" s="20">
        <v>7.0559999999996398E-3</v>
      </c>
    </row>
    <row r="22" spans="1:24">
      <c r="A22" s="1" t="s">
        <v>213</v>
      </c>
      <c r="B22" s="15" t="s">
        <v>101</v>
      </c>
      <c r="C22" s="20" t="s">
        <v>70</v>
      </c>
      <c r="D22" s="42" t="s">
        <v>10</v>
      </c>
      <c r="E22" s="8" t="s">
        <v>103</v>
      </c>
      <c r="F22" s="20" t="s">
        <v>105</v>
      </c>
      <c r="G22" s="20">
        <f>('All- Glycan Present'!J22+'Untruncated- All'!K22)/2</f>
        <v>2.2559999999999993</v>
      </c>
      <c r="H22" s="20">
        <f>SQRT(0.25*(('All- Glycan Present'!K22)^2 + ('Untruncated- All'!L22)^2))</f>
        <v>0.26733406114269509</v>
      </c>
      <c r="I22" s="20">
        <f t="shared" si="0"/>
        <v>7.1467500247046234E-2</v>
      </c>
      <c r="J22" s="8">
        <v>2.0099999999999998</v>
      </c>
      <c r="K22" s="20">
        <f t="shared" si="1"/>
        <v>6.0515999999999778E-2</v>
      </c>
      <c r="N22" s="1" t="s">
        <v>214</v>
      </c>
      <c r="O22" s="1" t="s">
        <v>82</v>
      </c>
      <c r="P22" s="1" t="s">
        <v>46</v>
      </c>
      <c r="Q22" s="1" t="s">
        <v>121</v>
      </c>
      <c r="R22" s="1" t="s">
        <v>122</v>
      </c>
      <c r="S22" s="1" t="s">
        <v>140</v>
      </c>
      <c r="T22" s="20">
        <v>-0.5950000000000002</v>
      </c>
      <c r="U22" s="20">
        <v>0.28245840401729949</v>
      </c>
      <c r="V22" s="20">
        <v>7.9782749999999986E-2</v>
      </c>
      <c r="W22" s="20">
        <v>0.05</v>
      </c>
      <c r="X22" s="20">
        <v>0.41602500000000031</v>
      </c>
    </row>
    <row r="23" spans="1:24">
      <c r="A23" s="1" t="s">
        <v>213</v>
      </c>
      <c r="B23" s="15" t="s">
        <v>82</v>
      </c>
      <c r="C23" s="1" t="s">
        <v>70</v>
      </c>
      <c r="D23" s="3" t="s">
        <v>12</v>
      </c>
      <c r="E23" s="3" t="s">
        <v>104</v>
      </c>
      <c r="F23" s="1" t="s">
        <v>106</v>
      </c>
      <c r="G23" s="20">
        <f>('All- Glycan Present'!J23+'Untruncated- All'!K23)/2</f>
        <v>-0.29649999999999999</v>
      </c>
      <c r="H23" s="20">
        <f>SQRT(0.25*(('All- Glycan Present'!K23)^2 + ('Untruncated- All'!L23)^2))</f>
        <v>0.19036149820801473</v>
      </c>
      <c r="I23" s="20">
        <f t="shared" si="0"/>
        <v>3.6237499999999999E-2</v>
      </c>
      <c r="J23" s="8">
        <v>0.85</v>
      </c>
      <c r="K23" s="20">
        <f t="shared" si="1"/>
        <v>1.3144622500000003</v>
      </c>
      <c r="N23" s="1" t="s">
        <v>214</v>
      </c>
      <c r="O23" s="1" t="s">
        <v>101</v>
      </c>
      <c r="P23" s="1" t="s">
        <v>46</v>
      </c>
      <c r="Q23" s="1" t="s">
        <v>124</v>
      </c>
      <c r="R23" s="1" t="s">
        <v>125</v>
      </c>
      <c r="S23" s="1" t="s">
        <v>58</v>
      </c>
      <c r="T23" s="20">
        <v>1.9090000000000025</v>
      </c>
      <c r="U23" s="20">
        <v>0.2304663749877626</v>
      </c>
      <c r="V23" s="20">
        <v>5.3114750000000002E-2</v>
      </c>
      <c r="W23" s="20">
        <v>0.76</v>
      </c>
      <c r="X23" s="20">
        <v>1.3202010000000057</v>
      </c>
    </row>
    <row r="24" spans="1:24">
      <c r="A24" s="1" t="s">
        <v>213</v>
      </c>
      <c r="B24" s="15" t="s">
        <v>82</v>
      </c>
      <c r="C24" s="1" t="s">
        <v>70</v>
      </c>
      <c r="D24" s="3" t="s">
        <v>14</v>
      </c>
      <c r="E24" s="3" t="s">
        <v>74</v>
      </c>
      <c r="F24" s="1" t="s">
        <v>78</v>
      </c>
      <c r="G24" s="20">
        <f>('All- Glycan Present'!J24+'Untruncated- All'!K24)/2</f>
        <v>-0.81899999999999995</v>
      </c>
      <c r="H24" s="20">
        <f>SQRT(0.25*(('All- Glycan Present'!K24)^2 + ('Untruncated- All'!L24)^2))</f>
        <v>0.18256711094827568</v>
      </c>
      <c r="I24" s="20">
        <f t="shared" si="0"/>
        <v>3.3330750000000006E-2</v>
      </c>
      <c r="J24" s="8">
        <v>-0.78</v>
      </c>
      <c r="K24" s="20">
        <f t="shared" si="1"/>
        <v>1.5209999999999941E-3</v>
      </c>
      <c r="N24" s="1" t="s">
        <v>214</v>
      </c>
      <c r="O24" s="1" t="s">
        <v>82</v>
      </c>
      <c r="P24" s="1" t="s">
        <v>46</v>
      </c>
      <c r="Q24" s="1" t="s">
        <v>126</v>
      </c>
      <c r="R24" s="1" t="s">
        <v>50</v>
      </c>
      <c r="S24" s="1" t="s">
        <v>59</v>
      </c>
      <c r="T24" s="20">
        <v>2.3045</v>
      </c>
      <c r="U24" s="20">
        <v>0.12185955030279737</v>
      </c>
      <c r="V24" s="20">
        <v>1.4849750000000002E-2</v>
      </c>
      <c r="W24" s="20">
        <v>0.35</v>
      </c>
      <c r="X24" s="20">
        <v>3.8200702499999997</v>
      </c>
    </row>
    <row r="25" spans="1:24">
      <c r="A25" s="1" t="s">
        <v>214</v>
      </c>
      <c r="B25" s="26" t="s">
        <v>101</v>
      </c>
      <c r="C25" s="26" t="s">
        <v>46</v>
      </c>
      <c r="D25" s="25" t="s">
        <v>9</v>
      </c>
      <c r="E25" s="3" t="s">
        <v>83</v>
      </c>
      <c r="F25" s="1" t="s">
        <v>89</v>
      </c>
      <c r="G25" s="20">
        <f>('All- Glycan Present'!J25+'Untruncated- All'!K25)/2</f>
        <v>3.8885000000000005</v>
      </c>
      <c r="H25" s="20">
        <f>SQRT(0.25*(('All- Glycan Present'!K25)^2 + ('Untruncated- All'!L25)^2))</f>
        <v>0.21367849681238399</v>
      </c>
      <c r="I25" s="20">
        <f t="shared" si="0"/>
        <v>4.5658499999999998E-2</v>
      </c>
      <c r="J25" s="9">
        <v>1.48</v>
      </c>
      <c r="K25" s="20">
        <f t="shared" si="1"/>
        <v>5.8008722500000029</v>
      </c>
      <c r="N25" s="1" t="s">
        <v>214</v>
      </c>
      <c r="O25" s="1" t="s">
        <v>82</v>
      </c>
      <c r="P25" s="1" t="s">
        <v>46</v>
      </c>
      <c r="Q25" s="1" t="s">
        <v>127</v>
      </c>
      <c r="R25" s="1" t="s">
        <v>51</v>
      </c>
      <c r="S25" s="1" t="s">
        <v>60</v>
      </c>
      <c r="T25" s="20">
        <v>1.0494999999999997</v>
      </c>
      <c r="U25" s="20">
        <v>0.18992037805354114</v>
      </c>
      <c r="V25" s="20">
        <v>3.6069749999999991E-2</v>
      </c>
      <c r="W25" s="20">
        <v>1.25</v>
      </c>
      <c r="X25" s="20">
        <v>4.0200250000000139E-2</v>
      </c>
    </row>
    <row r="26" spans="1:24">
      <c r="A26" s="1" t="s">
        <v>214</v>
      </c>
      <c r="B26" s="26" t="s">
        <v>101</v>
      </c>
      <c r="C26" s="26" t="s">
        <v>46</v>
      </c>
      <c r="D26" s="16" t="s">
        <v>11</v>
      </c>
      <c r="E26" s="3" t="s">
        <v>84</v>
      </c>
      <c r="F26" s="1" t="s">
        <v>90</v>
      </c>
      <c r="G26" s="20">
        <f>('All- Glycan Present'!J26+'Untruncated- All'!K26)/2</f>
        <v>1.2460000000000022</v>
      </c>
      <c r="H26" s="20">
        <f>SQRT(0.25*(('All- Glycan Present'!K26)^2 + ('Untruncated- All'!L26)^2))</f>
        <v>0.25723432896874399</v>
      </c>
      <c r="I26" s="20">
        <f t="shared" si="0"/>
        <v>6.6169500000000006E-2</v>
      </c>
      <c r="J26" s="9">
        <v>1.33</v>
      </c>
      <c r="K26" s="20">
        <f t="shared" si="1"/>
        <v>7.0559999999996398E-3</v>
      </c>
      <c r="N26" s="1" t="s">
        <v>214</v>
      </c>
      <c r="O26" s="1" t="s">
        <v>82</v>
      </c>
      <c r="P26" s="1" t="s">
        <v>46</v>
      </c>
      <c r="Q26" s="1" t="s">
        <v>128</v>
      </c>
      <c r="R26" s="1" t="s">
        <v>129</v>
      </c>
      <c r="S26" s="1" t="s">
        <v>61</v>
      </c>
      <c r="T26" s="20">
        <v>1.2570000000000001</v>
      </c>
      <c r="U26" s="20">
        <v>5.7175169435691231E-2</v>
      </c>
      <c r="V26" s="20">
        <v>3.2690000000000006E-3</v>
      </c>
      <c r="W26" s="20">
        <v>1.1499999999999999</v>
      </c>
      <c r="X26" s="20">
        <v>1.1449000000000044E-2</v>
      </c>
    </row>
    <row r="27" spans="1:24">
      <c r="A27" s="1" t="s">
        <v>214</v>
      </c>
      <c r="B27" s="26" t="s">
        <v>82</v>
      </c>
      <c r="C27" s="26" t="s">
        <v>46</v>
      </c>
      <c r="D27" s="16" t="s">
        <v>121</v>
      </c>
      <c r="E27" s="3" t="s">
        <v>122</v>
      </c>
      <c r="F27" s="1" t="s">
        <v>140</v>
      </c>
      <c r="G27" s="20">
        <f>('All- Glycan Present'!J27+'Untruncated- All'!K27)/2</f>
        <v>-0.5950000000000002</v>
      </c>
      <c r="H27" s="20">
        <f>SQRT(0.25*(('All- Glycan Present'!K27)^2 + ('Untruncated- All'!L27)^2))</f>
        <v>0.28245840401729949</v>
      </c>
      <c r="I27" s="20">
        <f t="shared" si="0"/>
        <v>7.9782749999999986E-2</v>
      </c>
      <c r="J27" s="9">
        <v>0.05</v>
      </c>
      <c r="K27" s="20">
        <f t="shared" si="1"/>
        <v>0.41602500000000031</v>
      </c>
      <c r="N27" s="1" t="s">
        <v>214</v>
      </c>
      <c r="O27" s="1" t="s">
        <v>82</v>
      </c>
      <c r="P27" s="1" t="s">
        <v>46</v>
      </c>
      <c r="Q27" s="1" t="s">
        <v>130</v>
      </c>
      <c r="R27" s="1" t="s">
        <v>85</v>
      </c>
      <c r="S27" s="1" t="s">
        <v>91</v>
      </c>
      <c r="T27" s="20">
        <v>-1.5000000000000124E-2</v>
      </c>
      <c r="U27" s="20">
        <v>0.25305681180319961</v>
      </c>
      <c r="V27" s="20">
        <v>6.4037749999999991E-2</v>
      </c>
      <c r="W27" s="20">
        <v>0.86</v>
      </c>
      <c r="X27" s="20">
        <v>0.76562500000000022</v>
      </c>
    </row>
    <row r="28" spans="1:24">
      <c r="A28" s="1" t="s">
        <v>214</v>
      </c>
      <c r="B28" s="26" t="s">
        <v>101</v>
      </c>
      <c r="C28" s="26" t="s">
        <v>46</v>
      </c>
      <c r="D28" s="16" t="s">
        <v>124</v>
      </c>
      <c r="E28" s="3" t="s">
        <v>125</v>
      </c>
      <c r="F28" s="1" t="s">
        <v>58</v>
      </c>
      <c r="G28" s="20">
        <f>('All- Glycan Present'!J28+'Untruncated- All'!K28)/2</f>
        <v>1.9090000000000025</v>
      </c>
      <c r="H28" s="20">
        <f>SQRT(0.25*(('All- Glycan Present'!K28)^2 + ('Untruncated- All'!L28)^2))</f>
        <v>0.2304663749877626</v>
      </c>
      <c r="I28" s="20">
        <f t="shared" si="0"/>
        <v>5.3114750000000002E-2</v>
      </c>
      <c r="J28" s="9">
        <v>0.76</v>
      </c>
      <c r="K28" s="20">
        <f t="shared" si="1"/>
        <v>1.3202010000000057</v>
      </c>
      <c r="N28" s="1" t="s">
        <v>214</v>
      </c>
      <c r="O28" s="1" t="s">
        <v>82</v>
      </c>
      <c r="P28" s="1" t="s">
        <v>46</v>
      </c>
      <c r="Q28" s="1" t="s">
        <v>131</v>
      </c>
      <c r="R28" s="1" t="s">
        <v>132</v>
      </c>
      <c r="S28" s="1" t="s">
        <v>141</v>
      </c>
      <c r="T28" s="20">
        <v>0.6684999999999981</v>
      </c>
      <c r="U28" s="20">
        <v>0.1028360345404275</v>
      </c>
      <c r="V28" s="20">
        <v>1.0575249999999998E-2</v>
      </c>
      <c r="W28" s="20">
        <v>1.1100000000000001</v>
      </c>
      <c r="X28" s="20">
        <v>0.19492225000000177</v>
      </c>
    </row>
    <row r="29" spans="1:24">
      <c r="A29" s="1" t="s">
        <v>214</v>
      </c>
      <c r="B29" s="26" t="s">
        <v>82</v>
      </c>
      <c r="C29" s="26" t="s">
        <v>46</v>
      </c>
      <c r="D29" s="16" t="s">
        <v>126</v>
      </c>
      <c r="E29" s="3" t="s">
        <v>50</v>
      </c>
      <c r="F29" s="1" t="s">
        <v>59</v>
      </c>
      <c r="G29" s="20">
        <f>('All- Glycan Present'!J29+'Untruncated- All'!K29)/2</f>
        <v>2.3045</v>
      </c>
      <c r="H29" s="20">
        <f>SQRT(0.25*(('All- Glycan Present'!K29)^2 + ('Untruncated- All'!L29)^2))</f>
        <v>0.12185955030279737</v>
      </c>
      <c r="I29" s="20">
        <f t="shared" si="0"/>
        <v>1.4849750000000002E-2</v>
      </c>
      <c r="J29" s="9">
        <v>0.35</v>
      </c>
      <c r="K29" s="20">
        <f t="shared" si="1"/>
        <v>3.8200702499999997</v>
      </c>
      <c r="N29" s="1" t="s">
        <v>214</v>
      </c>
      <c r="O29" s="1" t="s">
        <v>82</v>
      </c>
      <c r="P29" s="1" t="s">
        <v>46</v>
      </c>
      <c r="Q29" s="1" t="s">
        <v>133</v>
      </c>
      <c r="R29" s="1" t="s">
        <v>53</v>
      </c>
      <c r="S29" s="1" t="s">
        <v>62</v>
      </c>
      <c r="T29" s="20">
        <v>0.45100000000000051</v>
      </c>
      <c r="U29" s="20">
        <v>0.1780294919388358</v>
      </c>
      <c r="V29" s="20">
        <v>3.16945E-2</v>
      </c>
      <c r="W29" s="20">
        <v>0.55000000000000004</v>
      </c>
      <c r="X29" s="20">
        <v>9.800999999999907E-3</v>
      </c>
    </row>
    <row r="30" spans="1:24">
      <c r="A30" s="1" t="s">
        <v>214</v>
      </c>
      <c r="B30" s="26" t="s">
        <v>82</v>
      </c>
      <c r="C30" s="26" t="s">
        <v>46</v>
      </c>
      <c r="D30" s="16" t="s">
        <v>127</v>
      </c>
      <c r="E30" s="3" t="s">
        <v>51</v>
      </c>
      <c r="F30" s="1" t="s">
        <v>60</v>
      </c>
      <c r="G30" s="20">
        <f>('All- Glycan Present'!J30+'Untruncated- All'!K30)/2</f>
        <v>1.0494999999999997</v>
      </c>
      <c r="H30" s="20">
        <f>SQRT(0.25*(('All- Glycan Present'!K30)^2 + ('Untruncated- All'!L30)^2))</f>
        <v>0.18992037805354114</v>
      </c>
      <c r="I30" s="20">
        <f t="shared" si="0"/>
        <v>3.6069749999999991E-2</v>
      </c>
      <c r="J30" s="9">
        <v>1.25</v>
      </c>
      <c r="K30" s="20">
        <f t="shared" si="1"/>
        <v>4.0200250000000139E-2</v>
      </c>
      <c r="N30" s="1" t="s">
        <v>214</v>
      </c>
      <c r="O30" s="1" t="s">
        <v>82</v>
      </c>
      <c r="P30" s="1" t="s">
        <v>46</v>
      </c>
      <c r="Q30" s="1" t="s">
        <v>134</v>
      </c>
      <c r="R30" s="1" t="s">
        <v>135</v>
      </c>
      <c r="S30" s="1" t="s">
        <v>142</v>
      </c>
      <c r="T30" s="20">
        <v>-0.13649999999999807</v>
      </c>
      <c r="U30" s="20">
        <v>5.0643360867936082E-2</v>
      </c>
      <c r="V30" s="20">
        <v>2.5647499999999998E-3</v>
      </c>
      <c r="W30" s="20">
        <v>0.09</v>
      </c>
      <c r="X30" s="20">
        <v>5.1302249999999126E-2</v>
      </c>
    </row>
    <row r="31" spans="1:24">
      <c r="A31" s="1" t="s">
        <v>214</v>
      </c>
      <c r="B31" s="26" t="s">
        <v>82</v>
      </c>
      <c r="C31" s="26" t="s">
        <v>46</v>
      </c>
      <c r="D31" s="16" t="s">
        <v>128</v>
      </c>
      <c r="E31" s="3" t="s">
        <v>129</v>
      </c>
      <c r="F31" s="1" t="s">
        <v>61</v>
      </c>
      <c r="G31" s="20">
        <f>('All- Glycan Present'!J31+'Untruncated- All'!K31)/2</f>
        <v>1.2570000000000001</v>
      </c>
      <c r="H31" s="20">
        <f>SQRT(0.25*(('All- Glycan Present'!K31)^2 + ('Untruncated- All'!L31)^2))</f>
        <v>5.7175169435691231E-2</v>
      </c>
      <c r="I31" s="20">
        <f t="shared" si="0"/>
        <v>3.2690000000000006E-3</v>
      </c>
      <c r="J31" s="9">
        <v>1.1499999999999999</v>
      </c>
      <c r="K31" s="20">
        <f t="shared" si="1"/>
        <v>1.1449000000000044E-2</v>
      </c>
      <c r="N31" s="1" t="s">
        <v>214</v>
      </c>
      <c r="O31" s="1" t="s">
        <v>82</v>
      </c>
      <c r="P31" s="1" t="s">
        <v>46</v>
      </c>
      <c r="Q31" s="1" t="s">
        <v>136</v>
      </c>
      <c r="R31" s="1" t="s">
        <v>137</v>
      </c>
      <c r="S31" s="1" t="s">
        <v>143</v>
      </c>
      <c r="T31" s="20">
        <v>-0.45299999999999985</v>
      </c>
      <c r="U31" s="20">
        <v>0.13751908958395559</v>
      </c>
      <c r="V31" s="20">
        <v>1.8911500000000001E-2</v>
      </c>
      <c r="W31" s="20">
        <v>0.83</v>
      </c>
      <c r="X31" s="20">
        <v>1.6460889999999997</v>
      </c>
    </row>
    <row r="32" spans="1:24">
      <c r="A32" s="1" t="s">
        <v>214</v>
      </c>
      <c r="B32" s="26" t="s">
        <v>82</v>
      </c>
      <c r="C32" s="26" t="s">
        <v>46</v>
      </c>
      <c r="D32" s="16" t="s">
        <v>130</v>
      </c>
      <c r="E32" s="3" t="s">
        <v>85</v>
      </c>
      <c r="F32" s="1" t="s">
        <v>91</v>
      </c>
      <c r="G32" s="20">
        <f>('All- Glycan Present'!J32+'Untruncated- All'!K32)/2</f>
        <v>-1.5000000000000124E-2</v>
      </c>
      <c r="H32" s="20">
        <f>SQRT(0.25*(('All- Glycan Present'!K32)^2 + ('Untruncated- All'!L32)^2))</f>
        <v>0.25305681180319961</v>
      </c>
      <c r="I32" s="20">
        <f t="shared" si="0"/>
        <v>6.4037749999999991E-2</v>
      </c>
      <c r="J32" s="9">
        <v>0.86</v>
      </c>
      <c r="K32" s="20">
        <f t="shared" si="1"/>
        <v>0.76562500000000022</v>
      </c>
      <c r="N32" s="1" t="s">
        <v>214</v>
      </c>
      <c r="O32" s="1" t="s">
        <v>82</v>
      </c>
      <c r="P32" s="1" t="s">
        <v>70</v>
      </c>
      <c r="Q32" s="1" t="s">
        <v>4</v>
      </c>
      <c r="R32" s="1" t="s">
        <v>145</v>
      </c>
      <c r="S32" s="1" t="s">
        <v>149</v>
      </c>
      <c r="T32" s="20">
        <v>2.1499999999999631E-2</v>
      </c>
      <c r="U32" s="20">
        <v>7.0793714410249731E-2</v>
      </c>
      <c r="V32" s="20">
        <v>5.0117500000000006E-3</v>
      </c>
      <c r="W32" s="20">
        <v>-0.22</v>
      </c>
      <c r="X32" s="20">
        <v>5.8322249999999819E-2</v>
      </c>
    </row>
    <row r="33" spans="1:24">
      <c r="A33" s="1" t="s">
        <v>214</v>
      </c>
      <c r="B33" s="26" t="s">
        <v>82</v>
      </c>
      <c r="C33" s="26" t="s">
        <v>46</v>
      </c>
      <c r="D33" s="16" t="s">
        <v>131</v>
      </c>
      <c r="E33" s="3" t="s">
        <v>132</v>
      </c>
      <c r="F33" s="1" t="s">
        <v>141</v>
      </c>
      <c r="G33" s="20">
        <f>('All- Glycan Present'!J33+'Untruncated- All'!K33)/2</f>
        <v>0.6684999999999981</v>
      </c>
      <c r="H33" s="20">
        <f>SQRT(0.25*(('All- Glycan Present'!K33)^2 + ('Untruncated- All'!L33)^2))</f>
        <v>0.1028360345404275</v>
      </c>
      <c r="I33" s="20">
        <f t="shared" si="0"/>
        <v>1.0575249999999998E-2</v>
      </c>
      <c r="J33" s="9">
        <v>1.1100000000000001</v>
      </c>
      <c r="K33" s="20">
        <f t="shared" si="1"/>
        <v>0.19492225000000177</v>
      </c>
      <c r="N33" s="1" t="s">
        <v>214</v>
      </c>
      <c r="O33" s="1" t="s">
        <v>82</v>
      </c>
      <c r="P33" s="1" t="s">
        <v>70</v>
      </c>
      <c r="Q33" s="1" t="s">
        <v>119</v>
      </c>
      <c r="R33" s="1" t="s">
        <v>146</v>
      </c>
      <c r="S33" s="1" t="s">
        <v>150</v>
      </c>
      <c r="T33" s="20">
        <v>0.30749999999999744</v>
      </c>
      <c r="U33" s="20">
        <v>8.3447588341425419E-2</v>
      </c>
      <c r="V33" s="20">
        <v>6.9634999999999992E-3</v>
      </c>
      <c r="W33" s="20">
        <v>0.2</v>
      </c>
      <c r="X33" s="20">
        <v>1.1556249999999447E-2</v>
      </c>
    </row>
    <row r="34" spans="1:24">
      <c r="A34" s="1" t="s">
        <v>214</v>
      </c>
      <c r="B34" s="26" t="s">
        <v>82</v>
      </c>
      <c r="C34" s="26" t="s">
        <v>46</v>
      </c>
      <c r="D34" s="16" t="s">
        <v>133</v>
      </c>
      <c r="E34" s="3" t="s">
        <v>53</v>
      </c>
      <c r="F34" s="1" t="s">
        <v>62</v>
      </c>
      <c r="G34" s="20">
        <f>('All- Glycan Present'!J34+'Untruncated- All'!K34)/2</f>
        <v>0.45100000000000051</v>
      </c>
      <c r="H34" s="20">
        <f>SQRT(0.25*(('All- Glycan Present'!K34)^2 + ('Untruncated- All'!L34)^2))</f>
        <v>0.1780294919388358</v>
      </c>
      <c r="I34" s="20">
        <f t="shared" si="0"/>
        <v>3.16945E-2</v>
      </c>
      <c r="J34" s="9">
        <v>0.55000000000000004</v>
      </c>
      <c r="K34" s="20">
        <f t="shared" si="1"/>
        <v>9.800999999999907E-3</v>
      </c>
      <c r="N34" s="1" t="s">
        <v>215</v>
      </c>
      <c r="O34" s="1" t="s">
        <v>82</v>
      </c>
      <c r="P34" s="1" t="s">
        <v>46</v>
      </c>
      <c r="Q34" s="1" t="s">
        <v>162</v>
      </c>
      <c r="R34" s="1" t="s">
        <v>199</v>
      </c>
      <c r="S34" s="1" t="s">
        <v>202</v>
      </c>
      <c r="T34" s="20">
        <v>1.6269999999999998</v>
      </c>
      <c r="U34" s="20">
        <v>0.2765307397017554</v>
      </c>
      <c r="V34" s="20">
        <v>7.6469250000000002E-2</v>
      </c>
      <c r="W34" s="20">
        <v>0.56999999999999995</v>
      </c>
      <c r="X34" s="20">
        <v>1.1172489999999999</v>
      </c>
    </row>
    <row r="35" spans="1:24">
      <c r="A35" s="1" t="s">
        <v>214</v>
      </c>
      <c r="B35" s="26" t="s">
        <v>82</v>
      </c>
      <c r="C35" s="26" t="s">
        <v>46</v>
      </c>
      <c r="D35" s="16" t="s">
        <v>134</v>
      </c>
      <c r="E35" s="3" t="s">
        <v>135</v>
      </c>
      <c r="F35" s="1" t="s">
        <v>142</v>
      </c>
      <c r="G35" s="20">
        <f>('All- Glycan Present'!J35+'Untruncated- All'!K35)/2</f>
        <v>-0.13649999999999807</v>
      </c>
      <c r="H35" s="20">
        <f>SQRT(0.25*(('All- Glycan Present'!K35)^2 + ('Untruncated- All'!L35)^2))</f>
        <v>5.0643360867936082E-2</v>
      </c>
      <c r="I35" s="20">
        <f t="shared" si="0"/>
        <v>2.5647499999999998E-3</v>
      </c>
      <c r="J35" s="9">
        <v>0.09</v>
      </c>
      <c r="K35" s="20">
        <f t="shared" si="1"/>
        <v>5.1302249999999126E-2</v>
      </c>
      <c r="N35" s="1" t="s">
        <v>215</v>
      </c>
      <c r="O35" s="1" t="s">
        <v>82</v>
      </c>
      <c r="P35" s="1" t="s">
        <v>46</v>
      </c>
      <c r="Q35" s="1" t="s">
        <v>166</v>
      </c>
      <c r="R35" s="1" t="s">
        <v>125</v>
      </c>
      <c r="S35" s="1" t="s">
        <v>204</v>
      </c>
      <c r="T35" s="20">
        <v>5.0999999999999712E-2</v>
      </c>
      <c r="U35" s="20">
        <v>0.13170895945227112</v>
      </c>
      <c r="V35" s="20">
        <v>1.7347249999999998E-2</v>
      </c>
      <c r="W35" s="20">
        <v>-0.82</v>
      </c>
      <c r="X35" s="20">
        <v>0.75864099999999945</v>
      </c>
    </row>
    <row r="36" spans="1:24">
      <c r="A36" s="1" t="s">
        <v>214</v>
      </c>
      <c r="B36" s="26" t="s">
        <v>82</v>
      </c>
      <c r="C36" s="26" t="s">
        <v>46</v>
      </c>
      <c r="D36" s="16" t="s">
        <v>136</v>
      </c>
      <c r="E36" s="3" t="s">
        <v>137</v>
      </c>
      <c r="F36" s="1" t="s">
        <v>143</v>
      </c>
      <c r="G36" s="20">
        <f>('All- Glycan Present'!J36+'Untruncated- All'!K36)/2</f>
        <v>-0.45299999999999985</v>
      </c>
      <c r="H36" s="20">
        <f>SQRT(0.25*(('All- Glycan Present'!K36)^2 + ('Untruncated- All'!L36)^2))</f>
        <v>0.13751908958395559</v>
      </c>
      <c r="I36" s="20">
        <f t="shared" si="0"/>
        <v>1.8911500000000001E-2</v>
      </c>
      <c r="J36" s="9">
        <v>0.83</v>
      </c>
      <c r="K36" s="20">
        <f t="shared" si="1"/>
        <v>1.6460889999999997</v>
      </c>
      <c r="N36" s="1" t="s">
        <v>215</v>
      </c>
      <c r="O36" s="1" t="s">
        <v>82</v>
      </c>
      <c r="P36" s="1" t="s">
        <v>46</v>
      </c>
      <c r="Q36" s="1" t="s">
        <v>167</v>
      </c>
      <c r="R36" s="1" t="s">
        <v>178</v>
      </c>
      <c r="S36" s="1" t="s">
        <v>59</v>
      </c>
      <c r="T36" s="20">
        <v>-0.37199999999999989</v>
      </c>
      <c r="U36" s="20">
        <v>0.15114645215816347</v>
      </c>
      <c r="V36" s="20">
        <v>2.2845249999999998E-2</v>
      </c>
      <c r="W36" s="20">
        <v>-0.85</v>
      </c>
      <c r="X36" s="20">
        <v>0.22848400000000008</v>
      </c>
    </row>
    <row r="37" spans="1:24">
      <c r="A37" s="1" t="s">
        <v>214</v>
      </c>
      <c r="B37" s="26" t="s">
        <v>101</v>
      </c>
      <c r="C37" s="26" t="s">
        <v>46</v>
      </c>
      <c r="D37" s="25" t="s">
        <v>138</v>
      </c>
      <c r="E37" s="3" t="s">
        <v>139</v>
      </c>
      <c r="F37" s="1" t="s">
        <v>144</v>
      </c>
      <c r="G37" s="20">
        <f>('All- Glycan Present'!J37+'Untruncated- All'!K37)/2</f>
        <v>0.30249999999999844</v>
      </c>
      <c r="H37" s="20">
        <f>SQRT(0.25*(('All- Glycan Present'!K37)^2 + ('Untruncated- All'!L37)^2))</f>
        <v>0.2470146756773775</v>
      </c>
      <c r="I37" s="20">
        <f t="shared" si="0"/>
        <v>6.1016249999999994E-2</v>
      </c>
      <c r="J37" s="9">
        <v>1.07</v>
      </c>
      <c r="K37" s="20">
        <f t="shared" si="1"/>
        <v>0.5890562500000025</v>
      </c>
      <c r="N37" s="1" t="s">
        <v>215</v>
      </c>
      <c r="O37" s="1" t="s">
        <v>82</v>
      </c>
      <c r="P37" s="1" t="s">
        <v>46</v>
      </c>
      <c r="Q37" s="1" t="s">
        <v>13</v>
      </c>
      <c r="R37" s="1" t="s">
        <v>179</v>
      </c>
      <c r="S37" s="1" t="s">
        <v>187</v>
      </c>
      <c r="T37" s="20">
        <v>2.218</v>
      </c>
      <c r="U37" s="20">
        <v>0.17056450392739986</v>
      </c>
      <c r="V37" s="20">
        <v>2.909225E-2</v>
      </c>
      <c r="W37" s="20">
        <v>0.46</v>
      </c>
      <c r="X37" s="20">
        <v>3.0905640000000001</v>
      </c>
    </row>
    <row r="38" spans="1:24">
      <c r="A38" s="1" t="s">
        <v>214</v>
      </c>
      <c r="B38" s="15" t="s">
        <v>82</v>
      </c>
      <c r="C38" s="1" t="s">
        <v>70</v>
      </c>
      <c r="D38" s="16" t="s">
        <v>4</v>
      </c>
      <c r="E38" s="16" t="s">
        <v>145</v>
      </c>
      <c r="F38" s="1" t="s">
        <v>149</v>
      </c>
      <c r="G38" s="20">
        <f>('All- Glycan Present'!J38+'Untruncated- All'!K38)/2</f>
        <v>2.1499999999999631E-2</v>
      </c>
      <c r="H38" s="20">
        <f>SQRT(0.25*(('All- Glycan Present'!K38)^2 + ('Untruncated- All'!L38)^2))</f>
        <v>7.0793714410249731E-2</v>
      </c>
      <c r="I38" s="20">
        <f t="shared" si="0"/>
        <v>5.0117500000000006E-3</v>
      </c>
      <c r="J38" s="16">
        <v>-0.22</v>
      </c>
      <c r="K38" s="20">
        <f t="shared" si="1"/>
        <v>5.8322249999999819E-2</v>
      </c>
      <c r="N38" s="1" t="s">
        <v>215</v>
      </c>
      <c r="O38" s="1" t="s">
        <v>82</v>
      </c>
      <c r="P38" s="1" t="s">
        <v>46</v>
      </c>
      <c r="Q38" s="1" t="s">
        <v>168</v>
      </c>
      <c r="R38" s="1" t="s">
        <v>180</v>
      </c>
      <c r="S38" s="1" t="s">
        <v>61</v>
      </c>
      <c r="T38" s="20">
        <v>6.4500000000000224E-2</v>
      </c>
      <c r="U38" s="20">
        <v>8.6103135831396976E-2</v>
      </c>
      <c r="V38" s="20">
        <v>7.4137499999999976E-3</v>
      </c>
      <c r="W38" s="20">
        <v>0.99</v>
      </c>
      <c r="X38" s="20">
        <v>0.85655024999999962</v>
      </c>
    </row>
    <row r="39" spans="1:24">
      <c r="A39" s="1" t="s">
        <v>214</v>
      </c>
      <c r="B39" s="15" t="s">
        <v>82</v>
      </c>
      <c r="C39" s="1" t="s">
        <v>70</v>
      </c>
      <c r="D39" s="16" t="s">
        <v>119</v>
      </c>
      <c r="E39" s="16" t="s">
        <v>146</v>
      </c>
      <c r="F39" s="1" t="s">
        <v>150</v>
      </c>
      <c r="G39" s="20">
        <f>('All- Glycan Present'!J39+'Untruncated- All'!K39)/2</f>
        <v>0.30749999999999744</v>
      </c>
      <c r="H39" s="20">
        <f>SQRT(0.25*(('All- Glycan Present'!K39)^2 + ('Untruncated- All'!L39)^2))</f>
        <v>8.3447588341425419E-2</v>
      </c>
      <c r="I39" s="20">
        <f t="shared" si="0"/>
        <v>6.9634999999999992E-3</v>
      </c>
      <c r="J39" s="16">
        <v>0.2</v>
      </c>
      <c r="K39" s="20">
        <f t="shared" si="1"/>
        <v>1.1556249999999447E-2</v>
      </c>
      <c r="N39" s="1" t="s">
        <v>215</v>
      </c>
      <c r="O39" s="1" t="s">
        <v>82</v>
      </c>
      <c r="P39" s="1" t="s">
        <v>46</v>
      </c>
      <c r="Q39" s="1" t="s">
        <v>169</v>
      </c>
      <c r="R39" s="1" t="s">
        <v>181</v>
      </c>
      <c r="S39" s="1" t="s">
        <v>91</v>
      </c>
      <c r="T39" s="20">
        <v>0.8504999999999967</v>
      </c>
      <c r="U39" s="20">
        <v>0.17676679552449889</v>
      </c>
      <c r="V39" s="20">
        <v>3.1246500000000003E-2</v>
      </c>
      <c r="W39" s="20">
        <v>1.53</v>
      </c>
      <c r="X39" s="20">
        <v>0.4617202500000045</v>
      </c>
    </row>
    <row r="40" spans="1:24">
      <c r="A40" s="1" t="s">
        <v>214</v>
      </c>
      <c r="B40" s="15" t="s">
        <v>101</v>
      </c>
      <c r="C40" s="1" t="s">
        <v>70</v>
      </c>
      <c r="D40" s="25" t="s">
        <v>120</v>
      </c>
      <c r="E40" s="16" t="s">
        <v>147</v>
      </c>
      <c r="F40" s="1" t="s">
        <v>151</v>
      </c>
      <c r="G40" s="20">
        <f>('All- Glycan Present'!J40+'Untruncated- All'!K40)/2</f>
        <v>1.0679999999999996</v>
      </c>
      <c r="H40" s="20">
        <f>SQRT(0.25*(('All- Glycan Present'!K40)^2 + ('Untruncated- All'!L40)^2))</f>
        <v>0.13959674064962979</v>
      </c>
      <c r="I40" s="20">
        <f t="shared" si="0"/>
        <v>1.9487250000000001E-2</v>
      </c>
      <c r="J40" s="16">
        <v>-0.87</v>
      </c>
      <c r="K40" s="20">
        <f t="shared" si="1"/>
        <v>3.7558439999999989</v>
      </c>
      <c r="N40" s="1" t="s">
        <v>215</v>
      </c>
      <c r="O40" s="1" t="s">
        <v>82</v>
      </c>
      <c r="P40" s="1" t="s">
        <v>46</v>
      </c>
      <c r="Q40" s="1" t="s">
        <v>170</v>
      </c>
      <c r="R40" s="1" t="s">
        <v>201</v>
      </c>
      <c r="S40" s="1" t="s">
        <v>205</v>
      </c>
      <c r="T40" s="20">
        <v>-0.31100000000000083</v>
      </c>
      <c r="U40" s="20">
        <v>0.11807095324422513</v>
      </c>
      <c r="V40" s="20">
        <v>1.3940749999999997E-2</v>
      </c>
      <c r="W40" s="20">
        <v>0.06</v>
      </c>
      <c r="X40" s="20">
        <v>0.13764100000000062</v>
      </c>
    </row>
    <row r="41" spans="1:24">
      <c r="A41" s="1" t="s">
        <v>214</v>
      </c>
      <c r="B41" s="15" t="s">
        <v>101</v>
      </c>
      <c r="C41" s="1" t="s">
        <v>70</v>
      </c>
      <c r="D41" s="25" t="s">
        <v>123</v>
      </c>
      <c r="E41" s="24" t="s">
        <v>148</v>
      </c>
      <c r="F41" s="1" t="s">
        <v>152</v>
      </c>
      <c r="G41" s="20">
        <f>('All- Glycan Present'!J41+'Untruncated- All'!K41)/2</f>
        <v>0.38049999999999962</v>
      </c>
      <c r="H41" s="20">
        <f>SQRT(0.25*(('All- Glycan Present'!K41)^2 + ('Untruncated- All'!L41)^2))</f>
        <v>0.24452249385281508</v>
      </c>
      <c r="I41" s="20">
        <f t="shared" si="0"/>
        <v>5.9791249999999983E-2</v>
      </c>
      <c r="J41" s="16">
        <v>0.83</v>
      </c>
      <c r="K41" s="20">
        <f t="shared" si="1"/>
        <v>0.20205025000000032</v>
      </c>
      <c r="N41" s="1" t="s">
        <v>215</v>
      </c>
      <c r="O41" s="1" t="s">
        <v>82</v>
      </c>
      <c r="P41" s="1" t="s">
        <v>46</v>
      </c>
      <c r="Q41" s="1" t="s">
        <v>171</v>
      </c>
      <c r="R41" s="1" t="s">
        <v>86</v>
      </c>
      <c r="S41" s="1" t="s">
        <v>92</v>
      </c>
      <c r="T41" s="20">
        <v>0.64449999999999941</v>
      </c>
      <c r="U41" s="20">
        <v>0.20435385976291223</v>
      </c>
      <c r="V41" s="20">
        <v>4.1760499999999999E-2</v>
      </c>
      <c r="W41" s="20">
        <v>0.47</v>
      </c>
      <c r="X41" s="20">
        <v>3.0450249999999804E-2</v>
      </c>
    </row>
    <row r="42" spans="1:24">
      <c r="A42" s="1" t="s">
        <v>215</v>
      </c>
      <c r="B42" s="26" t="s">
        <v>82</v>
      </c>
      <c r="C42" s="26" t="s">
        <v>46</v>
      </c>
      <c r="D42" s="3" t="s">
        <v>162</v>
      </c>
      <c r="E42" s="3" t="s">
        <v>199</v>
      </c>
      <c r="F42" s="1" t="s">
        <v>202</v>
      </c>
      <c r="G42" s="20">
        <f>('All- Glycan Present'!J42+'Untruncated- All'!K42)/2</f>
        <v>1.6269999999999998</v>
      </c>
      <c r="H42" s="20">
        <f>SQRT(0.25*(('All- Glycan Present'!K42)^2 + ('Untruncated- All'!L42)^2))</f>
        <v>0.2765307397017554</v>
      </c>
      <c r="I42" s="20">
        <f t="shared" si="0"/>
        <v>7.6469250000000002E-2</v>
      </c>
      <c r="J42" s="3">
        <v>0.56999999999999995</v>
      </c>
      <c r="K42" s="20">
        <f t="shared" si="1"/>
        <v>1.1172489999999999</v>
      </c>
      <c r="N42" s="1" t="s">
        <v>215</v>
      </c>
      <c r="O42" s="1" t="s">
        <v>82</v>
      </c>
      <c r="P42" s="1" t="s">
        <v>46</v>
      </c>
      <c r="Q42" s="1" t="s">
        <v>172</v>
      </c>
      <c r="R42" s="1" t="s">
        <v>182</v>
      </c>
      <c r="S42" s="1" t="s">
        <v>93</v>
      </c>
      <c r="T42" s="20">
        <v>0.70500000000000007</v>
      </c>
      <c r="U42" s="20">
        <v>0.14149558296992878</v>
      </c>
      <c r="V42" s="20">
        <v>2.0021000000000001E-2</v>
      </c>
      <c r="W42" s="20">
        <v>-0.43</v>
      </c>
      <c r="X42" s="20">
        <v>1.288225</v>
      </c>
    </row>
    <row r="43" spans="1:24">
      <c r="A43" s="1" t="s">
        <v>215</v>
      </c>
      <c r="B43" s="1" t="s">
        <v>101</v>
      </c>
      <c r="C43" s="26" t="s">
        <v>46</v>
      </c>
      <c r="D43" s="6" t="s">
        <v>9</v>
      </c>
      <c r="E43" s="3" t="s">
        <v>200</v>
      </c>
      <c r="F43" s="1" t="s">
        <v>203</v>
      </c>
      <c r="G43" s="20">
        <f>('All- Glycan Present'!J43+'Untruncated- All'!K43)/2</f>
        <v>2.1739999999999995</v>
      </c>
      <c r="H43" s="20">
        <f>SQRT(0.25*(('All- Glycan Present'!K43)^2 + ('Untruncated- All'!L43)^2))</f>
        <v>0.38645536560063043</v>
      </c>
      <c r="I43" s="20">
        <f t="shared" si="0"/>
        <v>0.14934774960151692</v>
      </c>
      <c r="J43" s="3">
        <v>1.07</v>
      </c>
      <c r="K43" s="20">
        <f t="shared" si="1"/>
        <v>1.2188159999999988</v>
      </c>
      <c r="N43" s="1" t="s">
        <v>215</v>
      </c>
      <c r="O43" s="1" t="s">
        <v>82</v>
      </c>
      <c r="P43" s="1" t="s">
        <v>70</v>
      </c>
      <c r="Q43" s="1" t="s">
        <v>14</v>
      </c>
      <c r="R43" s="1" t="s">
        <v>190</v>
      </c>
      <c r="S43" s="1" t="s">
        <v>195</v>
      </c>
      <c r="T43" s="20">
        <v>-0.17649999999999988</v>
      </c>
      <c r="U43" s="20">
        <v>0.15648162831463636</v>
      </c>
      <c r="V43" s="20">
        <v>2.4486500000000001E-2</v>
      </c>
      <c r="W43" s="20">
        <v>-0.51</v>
      </c>
      <c r="X43" s="20">
        <v>0.11122225000000009</v>
      </c>
    </row>
    <row r="44" spans="1:24">
      <c r="A44" s="1" t="s">
        <v>215</v>
      </c>
      <c r="B44" s="1" t="s">
        <v>101</v>
      </c>
      <c r="C44" s="26" t="s">
        <v>46</v>
      </c>
      <c r="D44" s="6" t="s">
        <v>11</v>
      </c>
      <c r="E44" s="3" t="s">
        <v>176</v>
      </c>
      <c r="F44" s="1" t="s">
        <v>186</v>
      </c>
      <c r="G44" s="20">
        <f>('All- Glycan Present'!J44+'Untruncated- All'!K44)/2</f>
        <v>2.1535000000000011</v>
      </c>
      <c r="H44" s="20">
        <f>SQRT(0.25*(('All- Glycan Present'!K44)^2 + ('Untruncated- All'!L44)^2))</f>
        <v>0.22927821527567768</v>
      </c>
      <c r="I44" s="20">
        <f t="shared" si="0"/>
        <v>5.2568499999999997E-2</v>
      </c>
      <c r="J44" s="3">
        <v>1.53</v>
      </c>
      <c r="K44" s="20">
        <f t="shared" si="1"/>
        <v>0.3887522500000013</v>
      </c>
      <c r="T44" s="20"/>
      <c r="U44" s="20"/>
      <c r="V44" s="18" t="s">
        <v>67</v>
      </c>
      <c r="W44" s="18"/>
      <c r="X44" s="18" t="s">
        <v>67</v>
      </c>
    </row>
    <row r="45" spans="1:24">
      <c r="A45" s="1" t="s">
        <v>215</v>
      </c>
      <c r="B45" s="26" t="s">
        <v>82</v>
      </c>
      <c r="C45" s="26" t="s">
        <v>46</v>
      </c>
      <c r="D45" s="3" t="s">
        <v>166</v>
      </c>
      <c r="E45" s="3" t="s">
        <v>125</v>
      </c>
      <c r="F45" s="1" t="s">
        <v>204</v>
      </c>
      <c r="G45" s="20">
        <f>('All- Glycan Present'!J45+'Untruncated- All'!K45)/2</f>
        <v>5.0999999999999712E-2</v>
      </c>
      <c r="H45" s="20">
        <f>SQRT(0.25*(('All- Glycan Present'!K45)^2 + ('Untruncated- All'!L45)^2))</f>
        <v>0.13170895945227112</v>
      </c>
      <c r="I45" s="20">
        <f t="shared" si="0"/>
        <v>1.7347249999999998E-2</v>
      </c>
      <c r="J45" s="3">
        <v>-0.82</v>
      </c>
      <c r="K45" s="20">
        <f t="shared" si="1"/>
        <v>0.75864099999999945</v>
      </c>
      <c r="T45" s="20"/>
      <c r="U45" s="20"/>
      <c r="V45" s="20">
        <f>SUM(V3:V43)</f>
        <v>1.4390629999285633</v>
      </c>
      <c r="W45" s="20"/>
      <c r="X45" s="20">
        <f>SUM(X3:X43)</f>
        <v>33.021744749999996</v>
      </c>
    </row>
    <row r="46" spans="1:24">
      <c r="A46" s="1" t="s">
        <v>215</v>
      </c>
      <c r="B46" s="26" t="s">
        <v>82</v>
      </c>
      <c r="C46" s="26" t="s">
        <v>46</v>
      </c>
      <c r="D46" s="3" t="s">
        <v>167</v>
      </c>
      <c r="E46" s="3" t="s">
        <v>178</v>
      </c>
      <c r="F46" s="1" t="s">
        <v>59</v>
      </c>
      <c r="G46" s="20">
        <f>('All- Glycan Present'!J46+'Untruncated- All'!K46)/2</f>
        <v>-0.37199999999999989</v>
      </c>
      <c r="H46" s="20">
        <f>SQRT(0.25*(('All- Glycan Present'!K46)^2 + ('Untruncated- All'!L46)^2))</f>
        <v>0.15114645215816347</v>
      </c>
      <c r="I46" s="20">
        <f t="shared" si="0"/>
        <v>2.2845249999999998E-2</v>
      </c>
      <c r="J46" s="3">
        <v>-0.85</v>
      </c>
      <c r="K46" s="20">
        <f t="shared" si="1"/>
        <v>0.22848400000000008</v>
      </c>
      <c r="T46" s="20"/>
      <c r="U46" s="20"/>
      <c r="V46" s="20"/>
      <c r="W46" s="20"/>
      <c r="X46" s="20"/>
    </row>
    <row r="47" spans="1:24">
      <c r="A47" s="1" t="s">
        <v>215</v>
      </c>
      <c r="B47" s="26" t="s">
        <v>82</v>
      </c>
      <c r="C47" s="26" t="s">
        <v>46</v>
      </c>
      <c r="D47" s="3" t="s">
        <v>13</v>
      </c>
      <c r="E47" s="3" t="s">
        <v>179</v>
      </c>
      <c r="F47" s="1" t="s">
        <v>187</v>
      </c>
      <c r="G47" s="20">
        <f>('All- Glycan Present'!J47+'Untruncated- All'!K47)/2</f>
        <v>2.218</v>
      </c>
      <c r="H47" s="20">
        <f>SQRT(0.25*(('All- Glycan Present'!K47)^2 + ('Untruncated- All'!L47)^2))</f>
        <v>0.17056450392739986</v>
      </c>
      <c r="I47" s="20">
        <f t="shared" si="0"/>
        <v>2.909225E-2</v>
      </c>
      <c r="J47" s="3">
        <v>0.46</v>
      </c>
      <c r="K47" s="20">
        <f t="shared" si="1"/>
        <v>3.0905640000000001</v>
      </c>
      <c r="T47" s="20"/>
      <c r="U47" s="20"/>
      <c r="V47" s="20"/>
      <c r="W47" s="19" t="s">
        <v>68</v>
      </c>
      <c r="X47" s="20">
        <f>SQRT(X45/41)</f>
        <v>0.8974454905656305</v>
      </c>
    </row>
    <row r="48" spans="1:24">
      <c r="A48" s="1" t="s">
        <v>215</v>
      </c>
      <c r="B48" s="26" t="s">
        <v>82</v>
      </c>
      <c r="C48" s="26" t="s">
        <v>46</v>
      </c>
      <c r="D48" s="3" t="s">
        <v>168</v>
      </c>
      <c r="E48" s="3" t="s">
        <v>180</v>
      </c>
      <c r="F48" s="1" t="s">
        <v>61</v>
      </c>
      <c r="G48" s="20">
        <f>('All- Glycan Present'!J48+'Untruncated- All'!K48)/2</f>
        <v>6.4500000000000224E-2</v>
      </c>
      <c r="H48" s="20">
        <f>SQRT(0.25*(('All- Glycan Present'!K48)^2 + ('Untruncated- All'!L48)^2))</f>
        <v>8.6103135831396976E-2</v>
      </c>
      <c r="I48" s="20">
        <f t="shared" si="0"/>
        <v>7.4137499999999976E-3</v>
      </c>
      <c r="J48" s="3">
        <v>0.99</v>
      </c>
      <c r="K48" s="20">
        <f t="shared" si="1"/>
        <v>0.85655024999999962</v>
      </c>
      <c r="T48" s="20"/>
      <c r="U48" s="20"/>
      <c r="V48" s="20"/>
      <c r="W48" s="19" t="s">
        <v>40</v>
      </c>
      <c r="X48" s="20">
        <f>SQRT(V45/41)</f>
        <v>0.18734753150023956</v>
      </c>
    </row>
    <row r="49" spans="1:24">
      <c r="A49" s="1" t="s">
        <v>215</v>
      </c>
      <c r="B49" s="26" t="s">
        <v>82</v>
      </c>
      <c r="C49" s="26" t="s">
        <v>46</v>
      </c>
      <c r="D49" s="3" t="s">
        <v>169</v>
      </c>
      <c r="E49" s="3" t="s">
        <v>181</v>
      </c>
      <c r="F49" s="1" t="s">
        <v>91</v>
      </c>
      <c r="G49" s="20">
        <f>('All- Glycan Present'!J49+'Untruncated- All'!K49)/2</f>
        <v>0.8504999999999967</v>
      </c>
      <c r="H49" s="20">
        <f>SQRT(0.25*(('All- Glycan Present'!K49)^2 + ('Untruncated- All'!L49)^2))</f>
        <v>0.17676679552449889</v>
      </c>
      <c r="I49" s="20">
        <f t="shared" si="0"/>
        <v>3.1246500000000003E-2</v>
      </c>
      <c r="J49" s="3">
        <v>1.53</v>
      </c>
      <c r="K49" s="20">
        <f t="shared" si="1"/>
        <v>0.4617202500000045</v>
      </c>
      <c r="T49" s="20"/>
      <c r="U49" s="20"/>
      <c r="V49" s="20"/>
      <c r="W49" s="20"/>
      <c r="X49" s="20"/>
    </row>
    <row r="50" spans="1:24">
      <c r="A50" s="1" t="s">
        <v>215</v>
      </c>
      <c r="B50" s="26" t="s">
        <v>82</v>
      </c>
      <c r="C50" s="26" t="s">
        <v>46</v>
      </c>
      <c r="D50" s="3" t="s">
        <v>170</v>
      </c>
      <c r="E50" s="3" t="s">
        <v>201</v>
      </c>
      <c r="F50" s="1" t="s">
        <v>205</v>
      </c>
      <c r="G50" s="20">
        <f>('All- Glycan Present'!J50+'Untruncated- All'!K50)/2</f>
        <v>-0.31100000000000083</v>
      </c>
      <c r="H50" s="20">
        <f>SQRT(0.25*(('All- Glycan Present'!K50)^2 + ('Untruncated- All'!L50)^2))</f>
        <v>0.11807095324422513</v>
      </c>
      <c r="I50" s="20">
        <f t="shared" si="0"/>
        <v>1.3940749999999997E-2</v>
      </c>
      <c r="J50" s="3">
        <v>0.06</v>
      </c>
      <c r="K50" s="20">
        <f t="shared" si="1"/>
        <v>0.13764100000000062</v>
      </c>
      <c r="T50" s="20"/>
      <c r="U50" s="20"/>
      <c r="V50" s="20"/>
      <c r="W50" s="20"/>
      <c r="X50" s="20"/>
    </row>
    <row r="51" spans="1:24">
      <c r="A51" s="1" t="s">
        <v>215</v>
      </c>
      <c r="B51" s="26" t="s">
        <v>82</v>
      </c>
      <c r="C51" s="26" t="s">
        <v>46</v>
      </c>
      <c r="D51" s="3" t="s">
        <v>171</v>
      </c>
      <c r="E51" s="3" t="s">
        <v>86</v>
      </c>
      <c r="F51" s="1" t="s">
        <v>92</v>
      </c>
      <c r="G51" s="20">
        <f>('All- Glycan Present'!J51+'Untruncated- All'!K51)/2</f>
        <v>0.64449999999999941</v>
      </c>
      <c r="H51" s="20">
        <f>SQRT(0.25*(('All- Glycan Present'!K51)^2 + ('Untruncated- All'!L51)^2))</f>
        <v>0.20435385976291223</v>
      </c>
      <c r="I51" s="20">
        <f t="shared" si="0"/>
        <v>4.1760499999999999E-2</v>
      </c>
      <c r="J51" s="3">
        <v>0.47</v>
      </c>
      <c r="K51" s="20">
        <f t="shared" si="1"/>
        <v>3.0450249999999804E-2</v>
      </c>
      <c r="T51" s="20"/>
      <c r="U51" s="20"/>
      <c r="V51" s="20"/>
      <c r="W51" s="20"/>
      <c r="X51" s="20"/>
    </row>
    <row r="52" spans="1:24">
      <c r="A52" s="1" t="s">
        <v>215</v>
      </c>
      <c r="B52" s="26" t="s">
        <v>82</v>
      </c>
      <c r="C52" s="26" t="s">
        <v>46</v>
      </c>
      <c r="D52" s="3" t="s">
        <v>172</v>
      </c>
      <c r="E52" s="3" t="s">
        <v>182</v>
      </c>
      <c r="F52" s="1" t="s">
        <v>93</v>
      </c>
      <c r="G52" s="20">
        <f>('All- Glycan Present'!J52+'Untruncated- All'!K52)/2</f>
        <v>0.70500000000000007</v>
      </c>
      <c r="H52" s="20">
        <f>SQRT(0.25*(('All- Glycan Present'!K52)^2 + ('Untruncated- All'!L52)^2))</f>
        <v>0.14149558296992878</v>
      </c>
      <c r="I52" s="20">
        <f t="shared" si="0"/>
        <v>2.0021000000000001E-2</v>
      </c>
      <c r="J52" s="3">
        <v>-0.43</v>
      </c>
      <c r="K52" s="20">
        <f t="shared" si="1"/>
        <v>1.288225</v>
      </c>
      <c r="T52" s="20"/>
      <c r="U52" s="20"/>
      <c r="V52" s="20"/>
      <c r="W52" s="20"/>
      <c r="X52" s="20"/>
    </row>
    <row r="53" spans="1:24">
      <c r="A53" s="1" t="s">
        <v>215</v>
      </c>
      <c r="B53" s="1" t="s">
        <v>206</v>
      </c>
      <c r="C53" s="26" t="s">
        <v>46</v>
      </c>
      <c r="D53" s="6" t="s">
        <v>173</v>
      </c>
      <c r="E53" s="3" t="s">
        <v>183</v>
      </c>
      <c r="F53" s="1" t="s">
        <v>94</v>
      </c>
      <c r="G53" s="20">
        <f>('All- Glycan Present'!J53+'Untruncated- All'!K53)/2</f>
        <v>1.6115000000000004</v>
      </c>
      <c r="H53" s="20">
        <f>SQRT(0.25*(('All- Glycan Present'!K53)^2 + ('Untruncated- All'!L53)^2))</f>
        <v>0.14902013286801219</v>
      </c>
      <c r="I53" s="20">
        <f t="shared" si="0"/>
        <v>2.2207000000000008E-2</v>
      </c>
      <c r="J53" s="3">
        <v>-0.27</v>
      </c>
      <c r="K53" s="20">
        <f t="shared" si="1"/>
        <v>3.5400422500000013</v>
      </c>
      <c r="T53" s="20"/>
      <c r="U53" s="20"/>
      <c r="V53" s="20"/>
      <c r="W53" s="20"/>
      <c r="X53" s="20"/>
    </row>
    <row r="54" spans="1:24">
      <c r="A54" s="1" t="s">
        <v>215</v>
      </c>
      <c r="B54" s="1" t="s">
        <v>206</v>
      </c>
      <c r="C54" s="26" t="s">
        <v>46</v>
      </c>
      <c r="D54" s="6" t="s">
        <v>174</v>
      </c>
      <c r="E54" s="3" t="s">
        <v>184</v>
      </c>
      <c r="F54" s="1" t="s">
        <v>188</v>
      </c>
      <c r="G54" s="20">
        <f>('All- Glycan Present'!J54+'Untruncated- All'!K54)/2</f>
        <v>-0.37900000000000045</v>
      </c>
      <c r="H54" s="20">
        <f>SQRT(0.25*(('All- Glycan Present'!K54)^2 + ('Untruncated- All'!L54)^2))</f>
        <v>0.16958994663599608</v>
      </c>
      <c r="I54" s="20">
        <f t="shared" si="0"/>
        <v>2.8760749999999998E-2</v>
      </c>
      <c r="J54" s="3">
        <v>-0.63</v>
      </c>
      <c r="K54" s="20">
        <f t="shared" si="1"/>
        <v>6.3000999999999779E-2</v>
      </c>
      <c r="T54" s="20"/>
      <c r="U54" s="20"/>
      <c r="V54" s="20"/>
      <c r="W54" s="20"/>
      <c r="X54" s="20"/>
    </row>
    <row r="55" spans="1:24">
      <c r="A55" s="1" t="s">
        <v>215</v>
      </c>
      <c r="B55" s="1" t="s">
        <v>206</v>
      </c>
      <c r="C55" s="26" t="s">
        <v>46</v>
      </c>
      <c r="D55" s="6" t="s">
        <v>175</v>
      </c>
      <c r="E55" s="3" t="s">
        <v>185</v>
      </c>
      <c r="F55" s="1" t="s">
        <v>189</v>
      </c>
      <c r="G55" s="20">
        <f>('All- Glycan Present'!J55+'Untruncated- All'!K55)/2</f>
        <v>0.21450000000000014</v>
      </c>
      <c r="H55" s="20">
        <f>SQRT(0.25*(('All- Glycan Present'!K55)^2 + ('Untruncated- All'!L55)^2))</f>
        <v>0.15973571859073005</v>
      </c>
      <c r="I55" s="20">
        <f t="shared" si="0"/>
        <v>2.55154997936969E-2</v>
      </c>
      <c r="J55" s="3">
        <v>0.19</v>
      </c>
      <c r="K55" s="20">
        <f t="shared" si="1"/>
        <v>6.0025000000000649E-4</v>
      </c>
      <c r="T55" s="20"/>
      <c r="U55" s="20"/>
      <c r="V55" s="20"/>
      <c r="W55" s="20"/>
      <c r="X55" s="20"/>
    </row>
    <row r="56" spans="1:24">
      <c r="A56" s="1" t="s">
        <v>215</v>
      </c>
      <c r="B56" s="15" t="s">
        <v>82</v>
      </c>
      <c r="C56" s="1" t="s">
        <v>70</v>
      </c>
      <c r="D56" s="3" t="s">
        <v>14</v>
      </c>
      <c r="E56" s="3" t="s">
        <v>190</v>
      </c>
      <c r="F56" s="1" t="s">
        <v>195</v>
      </c>
      <c r="G56" s="20">
        <f>('All- Glycan Present'!J56+'Untruncated- All'!K56)/2</f>
        <v>-0.17649999999999988</v>
      </c>
      <c r="H56" s="20">
        <f>SQRT(0.25*(('All- Glycan Present'!K56)^2 + ('Untruncated- All'!L56)^2))</f>
        <v>0.15648162831463636</v>
      </c>
      <c r="I56" s="20">
        <f t="shared" si="0"/>
        <v>2.4486500000000001E-2</v>
      </c>
      <c r="J56" s="3">
        <v>-0.51</v>
      </c>
      <c r="K56" s="20">
        <f t="shared" si="1"/>
        <v>0.11122225000000009</v>
      </c>
      <c r="T56" s="20"/>
      <c r="U56" s="20"/>
      <c r="V56" s="20"/>
      <c r="W56" s="20"/>
      <c r="X56" s="20"/>
    </row>
    <row r="57" spans="1:24">
      <c r="A57" s="1" t="s">
        <v>215</v>
      </c>
      <c r="B57" s="1" t="s">
        <v>101</v>
      </c>
      <c r="C57" s="1" t="s">
        <v>70</v>
      </c>
      <c r="D57" s="6" t="s">
        <v>163</v>
      </c>
      <c r="E57" s="3" t="s">
        <v>191</v>
      </c>
      <c r="F57" s="1" t="s">
        <v>196</v>
      </c>
      <c r="G57" s="20">
        <f>('All- Glycan Present'!J57+'Untruncated- All'!K57)/2</f>
        <v>6.25E-2</v>
      </c>
      <c r="H57" s="20">
        <f>SQRT(0.25*(('All- Glycan Present'!K57)^2 + ('Untruncated- All'!L57)^2))</f>
        <v>7.2575822420417671E-2</v>
      </c>
      <c r="I57" s="20">
        <f t="shared" si="0"/>
        <v>5.2672500000000002E-3</v>
      </c>
      <c r="J57" s="3">
        <v>1.1299999999999999</v>
      </c>
      <c r="K57" s="20">
        <f t="shared" si="1"/>
        <v>1.1395562499999998</v>
      </c>
      <c r="T57" s="20"/>
      <c r="U57" s="20"/>
      <c r="V57" s="20"/>
      <c r="W57" s="20"/>
      <c r="X57" s="20"/>
    </row>
    <row r="58" spans="1:24">
      <c r="A58" s="1" t="s">
        <v>215</v>
      </c>
      <c r="B58" s="1" t="s">
        <v>101</v>
      </c>
      <c r="C58" s="1" t="s">
        <v>70</v>
      </c>
      <c r="D58" s="6" t="s">
        <v>164</v>
      </c>
      <c r="E58" s="3" t="s">
        <v>192</v>
      </c>
      <c r="F58" s="1" t="s">
        <v>77</v>
      </c>
      <c r="G58" s="20">
        <f>('All- Glycan Present'!J58+'Untruncated- All'!K58)/2</f>
        <v>0.33650000000000002</v>
      </c>
      <c r="H58" s="20">
        <f>SQRT(0.25*(('All- Glycan Present'!K58)^2 + ('Untruncated- All'!L58)^2))</f>
        <v>0.10609076302864448</v>
      </c>
      <c r="I58" s="20">
        <f t="shared" si="0"/>
        <v>1.1255249999999998E-2</v>
      </c>
      <c r="J58" s="3">
        <v>0.47</v>
      </c>
      <c r="K58" s="20">
        <f t="shared" si="1"/>
        <v>1.7822249999999987E-2</v>
      </c>
      <c r="T58" s="20"/>
      <c r="U58" s="20"/>
      <c r="V58" s="20"/>
      <c r="W58" s="20"/>
      <c r="X58" s="20"/>
    </row>
    <row r="59" spans="1:24">
      <c r="A59" s="1" t="s">
        <v>215</v>
      </c>
      <c r="B59" s="1" t="s">
        <v>101</v>
      </c>
      <c r="C59" s="1" t="s">
        <v>70</v>
      </c>
      <c r="D59" s="6" t="s">
        <v>165</v>
      </c>
      <c r="E59" s="3" t="s">
        <v>193</v>
      </c>
      <c r="F59" s="1" t="s">
        <v>197</v>
      </c>
      <c r="G59" s="20">
        <f>('All- Glycan Present'!J59+'Untruncated- All'!K59)/2</f>
        <v>0.375</v>
      </c>
      <c r="H59" s="20">
        <f>SQRT(0.25*(('All- Glycan Present'!K59)^2 + ('Untruncated- All'!L59)^2))</f>
        <v>0.19589155162997715</v>
      </c>
      <c r="I59" s="20">
        <f t="shared" si="0"/>
        <v>3.8373500000000005E-2</v>
      </c>
      <c r="J59" s="3">
        <v>0.97</v>
      </c>
      <c r="K59" s="20">
        <f t="shared" si="1"/>
        <v>0.35402499999999998</v>
      </c>
      <c r="T59" s="20"/>
      <c r="U59" s="20"/>
      <c r="V59" s="20"/>
      <c r="W59" s="20"/>
      <c r="X59" s="20"/>
    </row>
    <row r="60" spans="1:24">
      <c r="A60" s="1" t="s">
        <v>215</v>
      </c>
      <c r="B60" s="1" t="s">
        <v>101</v>
      </c>
      <c r="C60" s="1" t="s">
        <v>70</v>
      </c>
      <c r="D60" s="6" t="s">
        <v>12</v>
      </c>
      <c r="E60" s="3" t="s">
        <v>194</v>
      </c>
      <c r="F60" s="1" t="s">
        <v>198</v>
      </c>
      <c r="G60" s="20">
        <f>('All- Glycan Present'!J60+'Untruncated- All'!K60)/2</f>
        <v>-0.78449999999999953</v>
      </c>
      <c r="H60" s="20">
        <f>SQRT(0.25*(('All- Glycan Present'!K60)^2 + ('Untruncated- All'!L60)^2))</f>
        <v>0.1593070942696308</v>
      </c>
      <c r="I60" s="20">
        <f t="shared" si="0"/>
        <v>2.5378750284633034E-2</v>
      </c>
      <c r="J60" s="3">
        <v>0.02</v>
      </c>
      <c r="K60" s="20">
        <f t="shared" si="1"/>
        <v>0.64722024999999928</v>
      </c>
      <c r="T60" s="20"/>
      <c r="U60" s="20"/>
      <c r="V60" s="20"/>
      <c r="W60" s="20"/>
      <c r="X60" s="20"/>
    </row>
    <row r="61" spans="1:24">
      <c r="I61" s="18" t="s">
        <v>67</v>
      </c>
      <c r="J61" s="18"/>
      <c r="K61" s="18" t="s">
        <v>67</v>
      </c>
      <c r="T61" s="20"/>
      <c r="U61" s="20"/>
      <c r="V61" s="20"/>
      <c r="W61" s="20"/>
      <c r="X61" s="20"/>
    </row>
    <row r="62" spans="1:24">
      <c r="I62" s="20">
        <f>SUM(I3:I60)</f>
        <v>2.1199779995249828</v>
      </c>
      <c r="J62" s="20"/>
      <c r="K62" s="20">
        <f>SUM(K3:K60)</f>
        <v>55.47297824999999</v>
      </c>
      <c r="T62" s="20"/>
      <c r="U62" s="20"/>
      <c r="V62" s="20"/>
      <c r="W62" s="20"/>
      <c r="X62" s="20"/>
    </row>
    <row r="63" spans="1:24">
      <c r="I63" s="20"/>
      <c r="J63" s="20"/>
      <c r="K63" s="20"/>
      <c r="T63" s="20"/>
      <c r="U63" s="20"/>
      <c r="V63" s="20"/>
      <c r="W63" s="20"/>
      <c r="X63" s="20"/>
    </row>
    <row r="64" spans="1:24">
      <c r="I64" s="20"/>
      <c r="J64" s="19" t="s">
        <v>68</v>
      </c>
      <c r="K64" s="20">
        <f>SQRT(K62/58)</f>
        <v>0.97797272941670432</v>
      </c>
      <c r="T64" s="20"/>
      <c r="U64" s="20"/>
      <c r="V64" s="20"/>
      <c r="W64" s="20"/>
      <c r="X64" s="20"/>
    </row>
    <row r="65" spans="9:24">
      <c r="I65" s="20"/>
      <c r="J65" s="19" t="s">
        <v>40</v>
      </c>
      <c r="K65" s="20">
        <f>SQRT(I62/58)</f>
        <v>0.19118406005573857</v>
      </c>
      <c r="T65" s="20"/>
      <c r="U65" s="20"/>
      <c r="V65" s="20"/>
      <c r="W65" s="20"/>
      <c r="X65" s="20"/>
    </row>
    <row r="66" spans="9:24">
      <c r="K66" s="63"/>
      <c r="T66" s="20"/>
      <c r="U66" s="20"/>
      <c r="V66" s="20"/>
      <c r="W66" s="20"/>
      <c r="X66" s="20"/>
    </row>
    <row r="67" spans="9:24">
      <c r="K67" s="63"/>
      <c r="T67" s="20"/>
      <c r="U67" s="20"/>
      <c r="V67" s="20"/>
      <c r="W67" s="20"/>
      <c r="X67" s="20"/>
    </row>
    <row r="68" spans="9:24">
      <c r="K68" s="63"/>
    </row>
    <row r="69" spans="9:24">
      <c r="K69" s="63"/>
    </row>
    <row r="70" spans="9:24">
      <c r="K70" s="63"/>
    </row>
    <row r="71" spans="9:24">
      <c r="K71" s="63"/>
    </row>
    <row r="72" spans="9:24">
      <c r="K72" s="63"/>
    </row>
    <row r="73" spans="9:24">
      <c r="K73" s="63"/>
    </row>
    <row r="74" spans="9:24">
      <c r="K74" s="63"/>
    </row>
    <row r="75" spans="9:24">
      <c r="K75" s="63"/>
    </row>
    <row r="76" spans="9:24">
      <c r="K76" s="63"/>
    </row>
    <row r="77" spans="9:24">
      <c r="K77" s="6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Truncated VRC01</vt:lpstr>
      <vt:lpstr>Truncated VRC03</vt:lpstr>
      <vt:lpstr>Truncated VRC-PG04</vt:lpstr>
      <vt:lpstr>All</vt:lpstr>
      <vt:lpstr>Truncated VRC01- Glycan Present</vt:lpstr>
      <vt:lpstr>Truncated VRC03- Glycan Present</vt:lpstr>
      <vt:lpstr>Truncated VRCPG4-Glycan Present</vt:lpstr>
      <vt:lpstr>All- Glycan Present</vt:lpstr>
      <vt:lpstr>Untruncated VRC01</vt:lpstr>
      <vt:lpstr>Untruncated VRC03</vt:lpstr>
      <vt:lpstr>Untruncated VRC-PG04</vt:lpstr>
      <vt:lpstr>Untruncated- All</vt:lpstr>
      <vt:lpstr>Average Truncated + Untruncated</vt:lpstr>
      <vt:lpstr>Average Truncated WG+Untruncate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Amirmasoud</dc:creator>
  <cp:lastModifiedBy>Amirmasoud</cp:lastModifiedBy>
  <dcterms:created xsi:type="dcterms:W3CDTF">2026-05-09T19:12:52Z</dcterms:created>
  <dcterms:modified xsi:type="dcterms:W3CDTF">2026-06-03T19:00:35Z</dcterms:modified>
</cp:coreProperties>
</file>